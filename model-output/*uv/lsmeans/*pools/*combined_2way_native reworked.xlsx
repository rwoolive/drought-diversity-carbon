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wooliver/Library/CloudStorage/GoogleDrive-rwoolive@utk.edu/My Drive/*1_UTK-postdoc_2020-/1a_Incubation_cover crop diversity/usda-diversity-incubation/model-output/lsmeans/*pools/"/>
    </mc:Choice>
  </mc:AlternateContent>
  <xr:revisionPtr revIDLastSave="0" documentId="13_ncr:9_{480C8C7F-BEFE-5947-A73D-3B9111F5E94B}" xr6:coauthVersionLast="47" xr6:coauthVersionMax="47" xr10:uidLastSave="{00000000-0000-0000-0000-000000000000}"/>
  <bookViews>
    <workbookView xWindow="460" yWindow="1060" windowWidth="28160" windowHeight="16940" xr2:uid="{27CBAF0B-01DA-5E45-AEB5-C6DC5F7C9929}"/>
  </bookViews>
  <sheets>
    <sheet name="*combined_2way_native rework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2" i="1" l="1"/>
  <c r="V232" i="1"/>
  <c r="Y222" i="1"/>
  <c r="X222" i="1"/>
  <c r="AB212" i="1"/>
  <c r="AA212" i="1"/>
  <c r="Z212" i="1"/>
  <c r="T212" i="1"/>
  <c r="AB202" i="1"/>
  <c r="U202" i="1"/>
  <c r="T202" i="1"/>
  <c r="W192" i="1"/>
  <c r="V192" i="1"/>
  <c r="Y182" i="1"/>
  <c r="X182" i="1"/>
  <c r="AB172" i="1"/>
  <c r="AA172" i="1"/>
  <c r="Z172" i="1"/>
  <c r="T172" i="1"/>
  <c r="AC162" i="1"/>
  <c r="V162" i="1"/>
  <c r="U162" i="1"/>
  <c r="T162" i="1"/>
  <c r="X152" i="1"/>
  <c r="V152" i="1"/>
  <c r="Z142" i="1"/>
  <c r="X142" i="1"/>
  <c r="AB132" i="1"/>
  <c r="Z132" i="1"/>
  <c r="T132" i="1"/>
  <c r="AB122" i="1"/>
  <c r="V122" i="1"/>
  <c r="T122" i="1"/>
  <c r="X112" i="1"/>
  <c r="V112" i="1"/>
  <c r="Y102" i="1"/>
  <c r="X102" i="1"/>
  <c r="AB92" i="1"/>
  <c r="AA92" i="1"/>
  <c r="T92" i="1"/>
  <c r="AB82" i="1"/>
  <c r="V82" i="1"/>
  <c r="T82" i="1"/>
  <c r="X72" i="1"/>
  <c r="V72" i="1"/>
  <c r="Z62" i="1"/>
  <c r="X62" i="1"/>
  <c r="AC52" i="1"/>
  <c r="AA52" i="1"/>
  <c r="Z52" i="1"/>
  <c r="V52" i="1"/>
  <c r="AC42" i="1"/>
  <c r="AB42" i="1"/>
  <c r="X42" i="1"/>
  <c r="V42" i="1"/>
  <c r="U42" i="1"/>
  <c r="T42" i="1"/>
  <c r="Z32" i="1"/>
  <c r="X32" i="1"/>
  <c r="W32" i="1"/>
  <c r="V32" i="1"/>
  <c r="AC22" i="1"/>
  <c r="Z22" i="1"/>
  <c r="Y22" i="1"/>
  <c r="U22" i="1"/>
  <c r="X2" i="1"/>
  <c r="M3" i="1"/>
  <c r="O3" i="1" s="1"/>
  <c r="U2" i="1" s="1"/>
  <c r="N3" i="1"/>
  <c r="M4" i="1"/>
  <c r="O4" i="1" s="1"/>
  <c r="V2" i="1" s="1"/>
  <c r="N4" i="1"/>
  <c r="M5" i="1"/>
  <c r="O5" i="1" s="1"/>
  <c r="W2" i="1" s="1"/>
  <c r="N5" i="1"/>
  <c r="M6" i="1"/>
  <c r="O6" i="1" s="1"/>
  <c r="N6" i="1"/>
  <c r="M7" i="1"/>
  <c r="O7" i="1" s="1"/>
  <c r="Y2" i="1" s="1"/>
  <c r="N7" i="1"/>
  <c r="M8" i="1"/>
  <c r="O8" i="1" s="1"/>
  <c r="Z2" i="1" s="1"/>
  <c r="N8" i="1"/>
  <c r="M9" i="1"/>
  <c r="O9" i="1" s="1"/>
  <c r="AA2" i="1" s="1"/>
  <c r="N9" i="1"/>
  <c r="M10" i="1"/>
  <c r="N10" i="1"/>
  <c r="O10" i="1"/>
  <c r="AB2" i="1" s="1"/>
  <c r="M11" i="1"/>
  <c r="O11" i="1" s="1"/>
  <c r="AC2" i="1" s="1"/>
  <c r="N11" i="1"/>
  <c r="M12" i="1"/>
  <c r="O12" i="1" s="1"/>
  <c r="T12" i="1" s="1"/>
  <c r="N12" i="1"/>
  <c r="M13" i="1"/>
  <c r="O13" i="1" s="1"/>
  <c r="U12" i="1" s="1"/>
  <c r="N13" i="1"/>
  <c r="M14" i="1"/>
  <c r="O14" i="1" s="1"/>
  <c r="V12" i="1" s="1"/>
  <c r="N14" i="1"/>
  <c r="M15" i="1"/>
  <c r="O15" i="1" s="1"/>
  <c r="W12" i="1" s="1"/>
  <c r="N15" i="1"/>
  <c r="M16" i="1"/>
  <c r="O16" i="1" s="1"/>
  <c r="X12" i="1" s="1"/>
  <c r="N16" i="1"/>
  <c r="M17" i="1"/>
  <c r="O17" i="1" s="1"/>
  <c r="Y12" i="1" s="1"/>
  <c r="N17" i="1"/>
  <c r="M18" i="1"/>
  <c r="O18" i="1" s="1"/>
  <c r="Z12" i="1" s="1"/>
  <c r="N18" i="1"/>
  <c r="M19" i="1"/>
  <c r="O19" i="1" s="1"/>
  <c r="AA12" i="1" s="1"/>
  <c r="N19" i="1"/>
  <c r="M20" i="1"/>
  <c r="O20" i="1" s="1"/>
  <c r="AB12" i="1" s="1"/>
  <c r="N20" i="1"/>
  <c r="M21" i="1"/>
  <c r="O21" i="1" s="1"/>
  <c r="AC12" i="1" s="1"/>
  <c r="N21" i="1"/>
  <c r="M22" i="1"/>
  <c r="O22" i="1" s="1"/>
  <c r="T22" i="1" s="1"/>
  <c r="N22" i="1"/>
  <c r="M23" i="1"/>
  <c r="O23" i="1" s="1"/>
  <c r="N23" i="1"/>
  <c r="M24" i="1"/>
  <c r="O24" i="1" s="1"/>
  <c r="V22" i="1" s="1"/>
  <c r="N24" i="1"/>
  <c r="M25" i="1"/>
  <c r="O25" i="1" s="1"/>
  <c r="W22" i="1" s="1"/>
  <c r="N25" i="1"/>
  <c r="M26" i="1"/>
  <c r="O26" i="1" s="1"/>
  <c r="X22" i="1" s="1"/>
  <c r="N26" i="1"/>
  <c r="M27" i="1"/>
  <c r="O27" i="1" s="1"/>
  <c r="N27" i="1"/>
  <c r="M28" i="1"/>
  <c r="O28" i="1" s="1"/>
  <c r="N28" i="1"/>
  <c r="M29" i="1"/>
  <c r="O29" i="1" s="1"/>
  <c r="AA22" i="1" s="1"/>
  <c r="N29" i="1"/>
  <c r="M30" i="1"/>
  <c r="O30" i="1" s="1"/>
  <c r="AB22" i="1" s="1"/>
  <c r="N30" i="1"/>
  <c r="M31" i="1"/>
  <c r="O31" i="1" s="1"/>
  <c r="N31" i="1"/>
  <c r="M32" i="1"/>
  <c r="O32" i="1" s="1"/>
  <c r="T32" i="1" s="1"/>
  <c r="N32" i="1"/>
  <c r="M33" i="1"/>
  <c r="N33" i="1"/>
  <c r="O33" i="1"/>
  <c r="U32" i="1" s="1"/>
  <c r="M34" i="1"/>
  <c r="O34" i="1" s="1"/>
  <c r="N34" i="1"/>
  <c r="M35" i="1"/>
  <c r="O35" i="1" s="1"/>
  <c r="N35" i="1"/>
  <c r="M36" i="1"/>
  <c r="O36" i="1" s="1"/>
  <c r="N36" i="1"/>
  <c r="M37" i="1"/>
  <c r="O37" i="1" s="1"/>
  <c r="Y32" i="1" s="1"/>
  <c r="N37" i="1"/>
  <c r="M38" i="1"/>
  <c r="O38" i="1" s="1"/>
  <c r="N38" i="1"/>
  <c r="M39" i="1"/>
  <c r="O39" i="1" s="1"/>
  <c r="AA32" i="1" s="1"/>
  <c r="N39" i="1"/>
  <c r="M40" i="1"/>
  <c r="O40" i="1" s="1"/>
  <c r="AB32" i="1" s="1"/>
  <c r="N40" i="1"/>
  <c r="M41" i="1"/>
  <c r="O41" i="1" s="1"/>
  <c r="AC32" i="1" s="1"/>
  <c r="N41" i="1"/>
  <c r="M42" i="1"/>
  <c r="O42" i="1" s="1"/>
  <c r="N42" i="1"/>
  <c r="M43" i="1"/>
  <c r="O43" i="1" s="1"/>
  <c r="N43" i="1"/>
  <c r="M44" i="1"/>
  <c r="O44" i="1" s="1"/>
  <c r="N44" i="1"/>
  <c r="M45" i="1"/>
  <c r="O45" i="1" s="1"/>
  <c r="W42" i="1" s="1"/>
  <c r="N45" i="1"/>
  <c r="M46" i="1"/>
  <c r="O46" i="1" s="1"/>
  <c r="N46" i="1"/>
  <c r="M47" i="1"/>
  <c r="O47" i="1" s="1"/>
  <c r="Y42" i="1" s="1"/>
  <c r="N47" i="1"/>
  <c r="M48" i="1"/>
  <c r="O48" i="1" s="1"/>
  <c r="Z42" i="1" s="1"/>
  <c r="N48" i="1"/>
  <c r="M49" i="1"/>
  <c r="O49" i="1" s="1"/>
  <c r="AA42" i="1" s="1"/>
  <c r="N49" i="1"/>
  <c r="M50" i="1"/>
  <c r="O50" i="1" s="1"/>
  <c r="N50" i="1"/>
  <c r="M51" i="1"/>
  <c r="O51" i="1" s="1"/>
  <c r="N51" i="1"/>
  <c r="M52" i="1"/>
  <c r="O52" i="1" s="1"/>
  <c r="T52" i="1" s="1"/>
  <c r="N52" i="1"/>
  <c r="M53" i="1"/>
  <c r="O53" i="1" s="1"/>
  <c r="U52" i="1" s="1"/>
  <c r="N53" i="1"/>
  <c r="M54" i="1"/>
  <c r="O54" i="1" s="1"/>
  <c r="N54" i="1"/>
  <c r="M55" i="1"/>
  <c r="N55" i="1"/>
  <c r="O55" i="1"/>
  <c r="W52" i="1" s="1"/>
  <c r="M56" i="1"/>
  <c r="O56" i="1" s="1"/>
  <c r="X52" i="1" s="1"/>
  <c r="N56" i="1"/>
  <c r="M57" i="1"/>
  <c r="O57" i="1" s="1"/>
  <c r="Y52" i="1" s="1"/>
  <c r="N57" i="1"/>
  <c r="M58" i="1"/>
  <c r="O58" i="1" s="1"/>
  <c r="N58" i="1"/>
  <c r="M59" i="1"/>
  <c r="O59" i="1" s="1"/>
  <c r="N59" i="1"/>
  <c r="M60" i="1"/>
  <c r="O60" i="1" s="1"/>
  <c r="AB52" i="1" s="1"/>
  <c r="N60" i="1"/>
  <c r="M61" i="1"/>
  <c r="O61" i="1" s="1"/>
  <c r="N61" i="1"/>
  <c r="M62" i="1"/>
  <c r="N62" i="1"/>
  <c r="O62" i="1"/>
  <c r="T62" i="1" s="1"/>
  <c r="M63" i="1"/>
  <c r="O63" i="1" s="1"/>
  <c r="U62" i="1" s="1"/>
  <c r="N63" i="1"/>
  <c r="M64" i="1"/>
  <c r="O64" i="1" s="1"/>
  <c r="V62" i="1" s="1"/>
  <c r="N64" i="1"/>
  <c r="M65" i="1"/>
  <c r="N65" i="1"/>
  <c r="O65" i="1"/>
  <c r="W62" i="1" s="1"/>
  <c r="M66" i="1"/>
  <c r="O66" i="1" s="1"/>
  <c r="N66" i="1"/>
  <c r="M67" i="1"/>
  <c r="O67" i="1" s="1"/>
  <c r="Y62" i="1" s="1"/>
  <c r="N67" i="1"/>
  <c r="M68" i="1"/>
  <c r="O68" i="1" s="1"/>
  <c r="N68" i="1"/>
  <c r="M69" i="1"/>
  <c r="O69" i="1" s="1"/>
  <c r="AA62" i="1" s="1"/>
  <c r="N69" i="1"/>
  <c r="M70" i="1"/>
  <c r="O70" i="1" s="1"/>
  <c r="AB62" i="1" s="1"/>
  <c r="N70" i="1"/>
  <c r="M71" i="1"/>
  <c r="O71" i="1" s="1"/>
  <c r="AC62" i="1" s="1"/>
  <c r="N71" i="1"/>
  <c r="M72" i="1"/>
  <c r="O72" i="1" s="1"/>
  <c r="T72" i="1" s="1"/>
  <c r="N72" i="1"/>
  <c r="M73" i="1"/>
  <c r="O73" i="1" s="1"/>
  <c r="U72" i="1" s="1"/>
  <c r="N73" i="1"/>
  <c r="M74" i="1"/>
  <c r="O74" i="1" s="1"/>
  <c r="N74" i="1"/>
  <c r="M75" i="1"/>
  <c r="O75" i="1" s="1"/>
  <c r="W72" i="1" s="1"/>
  <c r="N75" i="1"/>
  <c r="M76" i="1"/>
  <c r="O76" i="1" s="1"/>
  <c r="N76" i="1"/>
  <c r="M77" i="1"/>
  <c r="O77" i="1" s="1"/>
  <c r="Y72" i="1" s="1"/>
  <c r="N77" i="1"/>
  <c r="M78" i="1"/>
  <c r="O78" i="1" s="1"/>
  <c r="Z72" i="1" s="1"/>
  <c r="N78" i="1"/>
  <c r="M79" i="1"/>
  <c r="O79" i="1" s="1"/>
  <c r="AA72" i="1" s="1"/>
  <c r="N79" i="1"/>
  <c r="M80" i="1"/>
  <c r="O80" i="1" s="1"/>
  <c r="AB72" i="1" s="1"/>
  <c r="N80" i="1"/>
  <c r="M81" i="1"/>
  <c r="O81" i="1" s="1"/>
  <c r="AC72" i="1" s="1"/>
  <c r="N81" i="1"/>
  <c r="M82" i="1"/>
  <c r="O82" i="1" s="1"/>
  <c r="N82" i="1"/>
  <c r="M83" i="1"/>
  <c r="O83" i="1" s="1"/>
  <c r="U82" i="1" s="1"/>
  <c r="N83" i="1"/>
  <c r="M84" i="1"/>
  <c r="O84" i="1" s="1"/>
  <c r="N84" i="1"/>
  <c r="M85" i="1"/>
  <c r="O85" i="1" s="1"/>
  <c r="W82" i="1" s="1"/>
  <c r="N85" i="1"/>
  <c r="M86" i="1"/>
  <c r="O86" i="1" s="1"/>
  <c r="X82" i="1" s="1"/>
  <c r="N86" i="1"/>
  <c r="M87" i="1"/>
  <c r="O87" i="1" s="1"/>
  <c r="Y82" i="1" s="1"/>
  <c r="N87" i="1"/>
  <c r="M88" i="1"/>
  <c r="O88" i="1" s="1"/>
  <c r="Z82" i="1" s="1"/>
  <c r="N88" i="1"/>
  <c r="M89" i="1"/>
  <c r="N89" i="1"/>
  <c r="O89" i="1"/>
  <c r="AA82" i="1" s="1"/>
  <c r="M90" i="1"/>
  <c r="O90" i="1" s="1"/>
  <c r="N90" i="1"/>
  <c r="M91" i="1"/>
  <c r="O91" i="1" s="1"/>
  <c r="AC82" i="1" s="1"/>
  <c r="N91" i="1"/>
  <c r="M92" i="1"/>
  <c r="O92" i="1" s="1"/>
  <c r="N92" i="1"/>
  <c r="M93" i="1"/>
  <c r="O93" i="1" s="1"/>
  <c r="U92" i="1" s="1"/>
  <c r="N93" i="1"/>
  <c r="M94" i="1"/>
  <c r="O94" i="1" s="1"/>
  <c r="V92" i="1" s="1"/>
  <c r="N94" i="1"/>
  <c r="M95" i="1"/>
  <c r="O95" i="1" s="1"/>
  <c r="W92" i="1" s="1"/>
  <c r="N95" i="1"/>
  <c r="M96" i="1"/>
  <c r="O96" i="1" s="1"/>
  <c r="X92" i="1" s="1"/>
  <c r="N96" i="1"/>
  <c r="M97" i="1"/>
  <c r="O97" i="1" s="1"/>
  <c r="Y92" i="1" s="1"/>
  <c r="N97" i="1"/>
  <c r="M98" i="1"/>
  <c r="O98" i="1" s="1"/>
  <c r="Z92" i="1" s="1"/>
  <c r="N98" i="1"/>
  <c r="M99" i="1"/>
  <c r="O99" i="1" s="1"/>
  <c r="N99" i="1"/>
  <c r="M100" i="1"/>
  <c r="O100" i="1" s="1"/>
  <c r="N100" i="1"/>
  <c r="M101" i="1"/>
  <c r="O101" i="1" s="1"/>
  <c r="AC92" i="1" s="1"/>
  <c r="N101" i="1"/>
  <c r="M102" i="1"/>
  <c r="O102" i="1" s="1"/>
  <c r="T102" i="1" s="1"/>
  <c r="N102" i="1"/>
  <c r="M103" i="1"/>
  <c r="N103" i="1"/>
  <c r="O103" i="1"/>
  <c r="U102" i="1" s="1"/>
  <c r="M104" i="1"/>
  <c r="O104" i="1" s="1"/>
  <c r="V102" i="1" s="1"/>
  <c r="N104" i="1"/>
  <c r="M105" i="1"/>
  <c r="O105" i="1" s="1"/>
  <c r="W102" i="1" s="1"/>
  <c r="N105" i="1"/>
  <c r="M106" i="1"/>
  <c r="N106" i="1"/>
  <c r="O106" i="1"/>
  <c r="M107" i="1"/>
  <c r="O107" i="1" s="1"/>
  <c r="N107" i="1"/>
  <c r="M108" i="1"/>
  <c r="O108" i="1" s="1"/>
  <c r="Z102" i="1" s="1"/>
  <c r="N108" i="1"/>
  <c r="M109" i="1"/>
  <c r="O109" i="1" s="1"/>
  <c r="AA102" i="1" s="1"/>
  <c r="N109" i="1"/>
  <c r="M110" i="1"/>
  <c r="O110" i="1" s="1"/>
  <c r="AB102" i="1" s="1"/>
  <c r="N110" i="1"/>
  <c r="M111" i="1"/>
  <c r="N111" i="1"/>
  <c r="O111" i="1"/>
  <c r="AC102" i="1" s="1"/>
  <c r="M112" i="1"/>
  <c r="O112" i="1" s="1"/>
  <c r="T112" i="1" s="1"/>
  <c r="N112" i="1"/>
  <c r="M113" i="1"/>
  <c r="O113" i="1" s="1"/>
  <c r="U112" i="1" s="1"/>
  <c r="N113" i="1"/>
  <c r="M114" i="1"/>
  <c r="O114" i="1" s="1"/>
  <c r="N114" i="1"/>
  <c r="M115" i="1"/>
  <c r="O115" i="1" s="1"/>
  <c r="W112" i="1" s="1"/>
  <c r="N115" i="1"/>
  <c r="M116" i="1"/>
  <c r="O116" i="1" s="1"/>
  <c r="N116" i="1"/>
  <c r="M117" i="1"/>
  <c r="O117" i="1" s="1"/>
  <c r="Y112" i="1" s="1"/>
  <c r="N117" i="1"/>
  <c r="M118" i="1"/>
  <c r="O118" i="1" s="1"/>
  <c r="Z112" i="1" s="1"/>
  <c r="N118" i="1"/>
  <c r="M119" i="1"/>
  <c r="O119" i="1" s="1"/>
  <c r="AA112" i="1" s="1"/>
  <c r="N119" i="1"/>
  <c r="M120" i="1"/>
  <c r="O120" i="1" s="1"/>
  <c r="AB112" i="1" s="1"/>
  <c r="N120" i="1"/>
  <c r="M121" i="1"/>
  <c r="O121" i="1" s="1"/>
  <c r="AC112" i="1" s="1"/>
  <c r="N121" i="1"/>
  <c r="M122" i="1"/>
  <c r="O122" i="1" s="1"/>
  <c r="N122" i="1"/>
  <c r="M123" i="1"/>
  <c r="O123" i="1" s="1"/>
  <c r="U122" i="1" s="1"/>
  <c r="N123" i="1"/>
  <c r="M124" i="1"/>
  <c r="O124" i="1" s="1"/>
  <c r="N124" i="1"/>
  <c r="M125" i="1"/>
  <c r="O125" i="1" s="1"/>
  <c r="W122" i="1" s="1"/>
  <c r="N125" i="1"/>
  <c r="M126" i="1"/>
  <c r="O126" i="1" s="1"/>
  <c r="X122" i="1" s="1"/>
  <c r="N126" i="1"/>
  <c r="M127" i="1"/>
  <c r="O127" i="1" s="1"/>
  <c r="Y122" i="1" s="1"/>
  <c r="N127" i="1"/>
  <c r="M128" i="1"/>
  <c r="O128" i="1" s="1"/>
  <c r="Z122" i="1" s="1"/>
  <c r="N128" i="1"/>
  <c r="M129" i="1"/>
  <c r="O129" i="1" s="1"/>
  <c r="AA122" i="1" s="1"/>
  <c r="N129" i="1"/>
  <c r="M130" i="1"/>
  <c r="O130" i="1" s="1"/>
  <c r="N130" i="1"/>
  <c r="M131" i="1"/>
  <c r="O131" i="1" s="1"/>
  <c r="AC122" i="1" s="1"/>
  <c r="N131" i="1"/>
  <c r="M132" i="1"/>
  <c r="O132" i="1" s="1"/>
  <c r="N132" i="1"/>
  <c r="M133" i="1"/>
  <c r="O133" i="1" s="1"/>
  <c r="U132" i="1" s="1"/>
  <c r="N133" i="1"/>
  <c r="M134" i="1"/>
  <c r="O134" i="1" s="1"/>
  <c r="V132" i="1" s="1"/>
  <c r="N134" i="1"/>
  <c r="M135" i="1"/>
  <c r="O135" i="1" s="1"/>
  <c r="W132" i="1" s="1"/>
  <c r="N135" i="1"/>
  <c r="M136" i="1"/>
  <c r="O136" i="1" s="1"/>
  <c r="X132" i="1" s="1"/>
  <c r="N136" i="1"/>
  <c r="M137" i="1"/>
  <c r="O137" i="1" s="1"/>
  <c r="Y132" i="1" s="1"/>
  <c r="N137" i="1"/>
  <c r="M138" i="1"/>
  <c r="O138" i="1" s="1"/>
  <c r="N138" i="1"/>
  <c r="M139" i="1"/>
  <c r="O139" i="1" s="1"/>
  <c r="AA132" i="1" s="1"/>
  <c r="N139" i="1"/>
  <c r="M140" i="1"/>
  <c r="O140" i="1" s="1"/>
  <c r="N140" i="1"/>
  <c r="M141" i="1"/>
  <c r="O141" i="1" s="1"/>
  <c r="AC132" i="1" s="1"/>
  <c r="N141" i="1"/>
  <c r="M142" i="1"/>
  <c r="O142" i="1" s="1"/>
  <c r="T142" i="1" s="1"/>
  <c r="N142" i="1"/>
  <c r="M143" i="1"/>
  <c r="O143" i="1" s="1"/>
  <c r="U142" i="1" s="1"/>
  <c r="N143" i="1"/>
  <c r="M144" i="1"/>
  <c r="O144" i="1" s="1"/>
  <c r="V142" i="1" s="1"/>
  <c r="N144" i="1"/>
  <c r="M145" i="1"/>
  <c r="O145" i="1" s="1"/>
  <c r="W142" i="1" s="1"/>
  <c r="N145" i="1"/>
  <c r="M146" i="1"/>
  <c r="O146" i="1" s="1"/>
  <c r="N146" i="1"/>
  <c r="M147" i="1"/>
  <c r="O147" i="1" s="1"/>
  <c r="Y142" i="1" s="1"/>
  <c r="N147" i="1"/>
  <c r="M148" i="1"/>
  <c r="O148" i="1" s="1"/>
  <c r="N148" i="1"/>
  <c r="M149" i="1"/>
  <c r="O149" i="1" s="1"/>
  <c r="AA142" i="1" s="1"/>
  <c r="N149" i="1"/>
  <c r="M150" i="1"/>
  <c r="O150" i="1" s="1"/>
  <c r="AB142" i="1" s="1"/>
  <c r="N150" i="1"/>
  <c r="M151" i="1"/>
  <c r="O151" i="1" s="1"/>
  <c r="AC142" i="1" s="1"/>
  <c r="N151" i="1"/>
  <c r="M152" i="1"/>
  <c r="O152" i="1" s="1"/>
  <c r="T152" i="1" s="1"/>
  <c r="N152" i="1"/>
  <c r="M153" i="1"/>
  <c r="O153" i="1" s="1"/>
  <c r="U152" i="1" s="1"/>
  <c r="N153" i="1"/>
  <c r="M154" i="1"/>
  <c r="O154" i="1" s="1"/>
  <c r="N154" i="1"/>
  <c r="M155" i="1"/>
  <c r="O155" i="1" s="1"/>
  <c r="W152" i="1" s="1"/>
  <c r="N155" i="1"/>
  <c r="M156" i="1"/>
  <c r="O156" i="1" s="1"/>
  <c r="N156" i="1"/>
  <c r="M157" i="1"/>
  <c r="O157" i="1" s="1"/>
  <c r="Y152" i="1" s="1"/>
  <c r="N157" i="1"/>
  <c r="M158" i="1"/>
  <c r="O158" i="1" s="1"/>
  <c r="Z152" i="1" s="1"/>
  <c r="N158" i="1"/>
  <c r="M159" i="1"/>
  <c r="O159" i="1" s="1"/>
  <c r="AA152" i="1" s="1"/>
  <c r="N159" i="1"/>
  <c r="M160" i="1"/>
  <c r="O160" i="1" s="1"/>
  <c r="AB152" i="1" s="1"/>
  <c r="N160" i="1"/>
  <c r="M161" i="1"/>
  <c r="O161" i="1" s="1"/>
  <c r="AC152" i="1" s="1"/>
  <c r="N161" i="1"/>
  <c r="M162" i="1"/>
  <c r="O162" i="1" s="1"/>
  <c r="N162" i="1"/>
  <c r="M163" i="1"/>
  <c r="O163" i="1" s="1"/>
  <c r="N163" i="1"/>
  <c r="M164" i="1"/>
  <c r="O164" i="1" s="1"/>
  <c r="N164" i="1"/>
  <c r="M165" i="1"/>
  <c r="O165" i="1" s="1"/>
  <c r="W162" i="1" s="1"/>
  <c r="N165" i="1"/>
  <c r="M166" i="1"/>
  <c r="O166" i="1" s="1"/>
  <c r="X162" i="1" s="1"/>
  <c r="N166" i="1"/>
  <c r="M167" i="1"/>
  <c r="O167" i="1" s="1"/>
  <c r="Y162" i="1" s="1"/>
  <c r="N167" i="1"/>
  <c r="M168" i="1"/>
  <c r="O168" i="1" s="1"/>
  <c r="Z162" i="1" s="1"/>
  <c r="N168" i="1"/>
  <c r="M169" i="1"/>
  <c r="O169" i="1" s="1"/>
  <c r="AA162" i="1" s="1"/>
  <c r="N169" i="1"/>
  <c r="M170" i="1"/>
  <c r="O170" i="1" s="1"/>
  <c r="AB162" i="1" s="1"/>
  <c r="N170" i="1"/>
  <c r="M171" i="1"/>
  <c r="O171" i="1" s="1"/>
  <c r="N171" i="1"/>
  <c r="M172" i="1"/>
  <c r="O172" i="1" s="1"/>
  <c r="N172" i="1"/>
  <c r="M173" i="1"/>
  <c r="O173" i="1" s="1"/>
  <c r="U172" i="1" s="1"/>
  <c r="N173" i="1"/>
  <c r="M174" i="1"/>
  <c r="O174" i="1" s="1"/>
  <c r="V172" i="1" s="1"/>
  <c r="N174" i="1"/>
  <c r="M175" i="1"/>
  <c r="O175" i="1" s="1"/>
  <c r="W172" i="1" s="1"/>
  <c r="N175" i="1"/>
  <c r="M176" i="1"/>
  <c r="O176" i="1" s="1"/>
  <c r="X172" i="1" s="1"/>
  <c r="N176" i="1"/>
  <c r="M177" i="1"/>
  <c r="N177" i="1"/>
  <c r="O177" i="1"/>
  <c r="Y172" i="1" s="1"/>
  <c r="M178" i="1"/>
  <c r="O178" i="1" s="1"/>
  <c r="N178" i="1"/>
  <c r="M179" i="1"/>
  <c r="O179" i="1" s="1"/>
  <c r="N179" i="1"/>
  <c r="M180" i="1"/>
  <c r="O180" i="1" s="1"/>
  <c r="N180" i="1"/>
  <c r="M181" i="1"/>
  <c r="O181" i="1" s="1"/>
  <c r="AC172" i="1" s="1"/>
  <c r="N181" i="1"/>
  <c r="M182" i="1"/>
  <c r="O182" i="1" s="1"/>
  <c r="T182" i="1" s="1"/>
  <c r="N182" i="1"/>
  <c r="M183" i="1"/>
  <c r="O183" i="1" s="1"/>
  <c r="U182" i="1" s="1"/>
  <c r="N183" i="1"/>
  <c r="M184" i="1"/>
  <c r="O184" i="1" s="1"/>
  <c r="V182" i="1" s="1"/>
  <c r="N184" i="1"/>
  <c r="M185" i="1"/>
  <c r="O185" i="1" s="1"/>
  <c r="W182" i="1" s="1"/>
  <c r="N185" i="1"/>
  <c r="M186" i="1"/>
  <c r="N186" i="1"/>
  <c r="O186" i="1"/>
  <c r="M187" i="1"/>
  <c r="O187" i="1" s="1"/>
  <c r="N187" i="1"/>
  <c r="M188" i="1"/>
  <c r="O188" i="1" s="1"/>
  <c r="Z182" i="1" s="1"/>
  <c r="N188" i="1"/>
  <c r="M189" i="1"/>
  <c r="O189" i="1" s="1"/>
  <c r="AA182" i="1" s="1"/>
  <c r="N189" i="1"/>
  <c r="M190" i="1"/>
  <c r="O190" i="1" s="1"/>
  <c r="AB182" i="1" s="1"/>
  <c r="N190" i="1"/>
  <c r="M191" i="1"/>
  <c r="O191" i="1" s="1"/>
  <c r="AC182" i="1" s="1"/>
  <c r="N191" i="1"/>
  <c r="M192" i="1"/>
  <c r="O192" i="1" s="1"/>
  <c r="T192" i="1" s="1"/>
  <c r="N192" i="1"/>
  <c r="M193" i="1"/>
  <c r="O193" i="1" s="1"/>
  <c r="U192" i="1" s="1"/>
  <c r="N193" i="1"/>
  <c r="M194" i="1"/>
  <c r="O194" i="1" s="1"/>
  <c r="N194" i="1"/>
  <c r="M195" i="1"/>
  <c r="O195" i="1" s="1"/>
  <c r="N195" i="1"/>
  <c r="M196" i="1"/>
  <c r="O196" i="1" s="1"/>
  <c r="X192" i="1" s="1"/>
  <c r="N196" i="1"/>
  <c r="M197" i="1"/>
  <c r="O197" i="1" s="1"/>
  <c r="Y192" i="1" s="1"/>
  <c r="N197" i="1"/>
  <c r="M198" i="1"/>
  <c r="O198" i="1" s="1"/>
  <c r="Z192" i="1" s="1"/>
  <c r="N198" i="1"/>
  <c r="M199" i="1"/>
  <c r="N199" i="1"/>
  <c r="O199" i="1"/>
  <c r="AA192" i="1" s="1"/>
  <c r="M200" i="1"/>
  <c r="O200" i="1" s="1"/>
  <c r="AB192" i="1" s="1"/>
  <c r="N200" i="1"/>
  <c r="M201" i="1"/>
  <c r="O201" i="1" s="1"/>
  <c r="AC192" i="1" s="1"/>
  <c r="N201" i="1"/>
  <c r="M202" i="1"/>
  <c r="N202" i="1"/>
  <c r="O202" i="1"/>
  <c r="M203" i="1"/>
  <c r="O203" i="1" s="1"/>
  <c r="N203" i="1"/>
  <c r="M204" i="1"/>
  <c r="O204" i="1" s="1"/>
  <c r="V202" i="1" s="1"/>
  <c r="N204" i="1"/>
  <c r="M205" i="1"/>
  <c r="O205" i="1" s="1"/>
  <c r="W202" i="1" s="1"/>
  <c r="N205" i="1"/>
  <c r="M206" i="1"/>
  <c r="O206" i="1" s="1"/>
  <c r="X202" i="1" s="1"/>
  <c r="N206" i="1"/>
  <c r="M207" i="1"/>
  <c r="N207" i="1"/>
  <c r="O207" i="1"/>
  <c r="Y202" i="1" s="1"/>
  <c r="M208" i="1"/>
  <c r="O208" i="1" s="1"/>
  <c r="Z202" i="1" s="1"/>
  <c r="N208" i="1"/>
  <c r="M209" i="1"/>
  <c r="O209" i="1" s="1"/>
  <c r="AA202" i="1" s="1"/>
  <c r="N209" i="1"/>
  <c r="M210" i="1"/>
  <c r="O210" i="1" s="1"/>
  <c r="N210" i="1"/>
  <c r="M211" i="1"/>
  <c r="O211" i="1" s="1"/>
  <c r="AC202" i="1" s="1"/>
  <c r="N211" i="1"/>
  <c r="M212" i="1"/>
  <c r="O212" i="1" s="1"/>
  <c r="N212" i="1"/>
  <c r="M213" i="1"/>
  <c r="O213" i="1" s="1"/>
  <c r="U212" i="1" s="1"/>
  <c r="N213" i="1"/>
  <c r="M214" i="1"/>
  <c r="N214" i="1"/>
  <c r="O214" i="1"/>
  <c r="V212" i="1" s="1"/>
  <c r="M215" i="1"/>
  <c r="O215" i="1" s="1"/>
  <c r="W212" i="1" s="1"/>
  <c r="N215" i="1"/>
  <c r="M216" i="1"/>
  <c r="O216" i="1" s="1"/>
  <c r="X212" i="1" s="1"/>
  <c r="N216" i="1"/>
  <c r="M217" i="1"/>
  <c r="O217" i="1" s="1"/>
  <c r="Y212" i="1" s="1"/>
  <c r="N217" i="1"/>
  <c r="M218" i="1"/>
  <c r="O218" i="1" s="1"/>
  <c r="N218" i="1"/>
  <c r="M219" i="1"/>
  <c r="N219" i="1"/>
  <c r="O219" i="1"/>
  <c r="M220" i="1"/>
  <c r="O220" i="1" s="1"/>
  <c r="N220" i="1"/>
  <c r="M221" i="1"/>
  <c r="O221" i="1" s="1"/>
  <c r="AC212" i="1" s="1"/>
  <c r="N221" i="1"/>
  <c r="M222" i="1"/>
  <c r="O222" i="1" s="1"/>
  <c r="T222" i="1" s="1"/>
  <c r="N222" i="1"/>
  <c r="M223" i="1"/>
  <c r="O223" i="1" s="1"/>
  <c r="U222" i="1" s="1"/>
  <c r="N223" i="1"/>
  <c r="M224" i="1"/>
  <c r="O224" i="1" s="1"/>
  <c r="V222" i="1" s="1"/>
  <c r="N224" i="1"/>
  <c r="M225" i="1"/>
  <c r="O225" i="1" s="1"/>
  <c r="W222" i="1" s="1"/>
  <c r="N225" i="1"/>
  <c r="M226" i="1"/>
  <c r="O226" i="1" s="1"/>
  <c r="N226" i="1"/>
  <c r="M227" i="1"/>
  <c r="O227" i="1" s="1"/>
  <c r="N227" i="1"/>
  <c r="M228" i="1"/>
  <c r="N228" i="1"/>
  <c r="O228" i="1"/>
  <c r="Z222" i="1" s="1"/>
  <c r="M229" i="1"/>
  <c r="O229" i="1" s="1"/>
  <c r="AA222" i="1" s="1"/>
  <c r="N229" i="1"/>
  <c r="M230" i="1"/>
  <c r="O230" i="1" s="1"/>
  <c r="AB222" i="1" s="1"/>
  <c r="N230" i="1"/>
  <c r="M231" i="1"/>
  <c r="O231" i="1" s="1"/>
  <c r="AC222" i="1" s="1"/>
  <c r="N231" i="1"/>
  <c r="M232" i="1"/>
  <c r="O232" i="1" s="1"/>
  <c r="T232" i="1" s="1"/>
  <c r="N232" i="1"/>
  <c r="M233" i="1"/>
  <c r="O233" i="1" s="1"/>
  <c r="U232" i="1" s="1"/>
  <c r="N233" i="1"/>
  <c r="M234" i="1"/>
  <c r="O234" i="1" s="1"/>
  <c r="N234" i="1"/>
  <c r="M235" i="1"/>
  <c r="O235" i="1" s="1"/>
  <c r="N235" i="1"/>
  <c r="M236" i="1"/>
  <c r="O236" i="1" s="1"/>
  <c r="X232" i="1" s="1"/>
  <c r="N236" i="1"/>
  <c r="M237" i="1"/>
  <c r="O237" i="1" s="1"/>
  <c r="Y232" i="1" s="1"/>
  <c r="N237" i="1"/>
  <c r="M238" i="1"/>
  <c r="N238" i="1"/>
  <c r="O238" i="1"/>
  <c r="Z232" i="1" s="1"/>
  <c r="M239" i="1"/>
  <c r="O239" i="1" s="1"/>
  <c r="AA232" i="1" s="1"/>
  <c r="N239" i="1"/>
  <c r="M240" i="1"/>
  <c r="O240" i="1" s="1"/>
  <c r="AB232" i="1" s="1"/>
  <c r="N240" i="1"/>
  <c r="M241" i="1"/>
  <c r="O241" i="1" s="1"/>
  <c r="AC232" i="1" s="1"/>
  <c r="N241" i="1"/>
  <c r="N2" i="1"/>
  <c r="M2" i="1"/>
  <c r="O2" i="1" s="1"/>
  <c r="T2" i="1" s="1"/>
</calcChain>
</file>

<file path=xl/sharedStrings.xml><?xml version="1.0" encoding="utf-8"?>
<sst xmlns="http://schemas.openxmlformats.org/spreadsheetml/2006/main" count="2900" uniqueCount="228">
  <si>
    <t>Moisture.treatment</t>
  </si>
  <si>
    <t>Residue.type</t>
  </si>
  <si>
    <t>response</t>
  </si>
  <si>
    <t>SE</t>
  </si>
  <si>
    <t>df</t>
  </si>
  <si>
    <t>lower.CL</t>
  </si>
  <si>
    <t>upper.CL</t>
  </si>
  <si>
    <t>.group</t>
  </si>
  <si>
    <t>Harvest.day2</t>
  </si>
  <si>
    <t>minys</t>
  </si>
  <si>
    <t>condition</t>
  </si>
  <si>
    <t>control</t>
  </si>
  <si>
    <t>No residue</t>
  </si>
  <si>
    <t>D</t>
  </si>
  <si>
    <t>24 hr</t>
  </si>
  <si>
    <t>soc</t>
  </si>
  <si>
    <t>Wheat</t>
  </si>
  <si>
    <t>C</t>
  </si>
  <si>
    <t>Clover</t>
  </si>
  <si>
    <t>BC</t>
  </si>
  <si>
    <t>Wheat-clover mix</t>
  </si>
  <si>
    <t>Five-species mix</t>
  </si>
  <si>
    <t>ABC</t>
  </si>
  <si>
    <t>drought</t>
  </si>
  <si>
    <t>AB</t>
  </si>
  <si>
    <t>A</t>
  </si>
  <si>
    <t>6 mo</t>
  </si>
  <si>
    <t>n</t>
  </si>
  <si>
    <t>B</t>
  </si>
  <si>
    <t>cn</t>
  </si>
  <si>
    <t>F</t>
  </si>
  <si>
    <t>E</t>
  </si>
  <si>
    <t>EF</t>
  </si>
  <si>
    <t>maom-c</t>
  </si>
  <si>
    <t>maom-n</t>
  </si>
  <si>
    <t>maom-cn</t>
  </si>
  <si>
    <t>CD</t>
  </si>
  <si>
    <t>DE</t>
  </si>
  <si>
    <t>BCD</t>
  </si>
  <si>
    <t>CDE</t>
  </si>
  <si>
    <t>pom-c</t>
  </si>
  <si>
    <t>pom-n</t>
  </si>
  <si>
    <t>pom-cn</t>
  </si>
  <si>
    <t>mbc</t>
  </si>
  <si>
    <t>doc</t>
  </si>
  <si>
    <t>co2</t>
  </si>
  <si>
    <t>response rounded</t>
  </si>
  <si>
    <t>SE rounded</t>
  </si>
  <si>
    <t>concatenated</t>
  </si>
  <si>
    <t>11.9 D</t>
  </si>
  <si>
    <t>15.1 C</t>
  </si>
  <si>
    <t>15.3 BC</t>
  </si>
  <si>
    <t>15.2 C</t>
  </si>
  <si>
    <t>15.9 ABC</t>
  </si>
  <si>
    <t>12.3 D</t>
  </si>
  <si>
    <t>15.7 ABC</t>
  </si>
  <si>
    <t>16 AB</t>
  </si>
  <si>
    <t>15.6 BC</t>
  </si>
  <si>
    <t>16.5 A</t>
  </si>
  <si>
    <t>1.2 D</t>
  </si>
  <si>
    <t>1.6 C</t>
  </si>
  <si>
    <t>1.9 A</t>
  </si>
  <si>
    <t>1.8 B</t>
  </si>
  <si>
    <t>2 A</t>
  </si>
  <si>
    <t>9.8 B</t>
  </si>
  <si>
    <t>9.5 C</t>
  </si>
  <si>
    <t>7.9 F</t>
  </si>
  <si>
    <t>8.6 D</t>
  </si>
  <si>
    <t>8.2 E</t>
  </si>
  <si>
    <t>10.1 A</t>
  </si>
  <si>
    <t>8.1 EF</t>
  </si>
  <si>
    <t>8.8 D</t>
  </si>
  <si>
    <t>8.3 E</t>
  </si>
  <si>
    <t>8 BC</t>
  </si>
  <si>
    <t>8.8 ABC</t>
  </si>
  <si>
    <t>9 AB</t>
  </si>
  <si>
    <t>9.1 AB</t>
  </si>
  <si>
    <t>7.6 C</t>
  </si>
  <si>
    <t>8.7 ABC</t>
  </si>
  <si>
    <t>9.3 A</t>
  </si>
  <si>
    <t>9.2 AB</t>
  </si>
  <si>
    <t>0.9 BC</t>
  </si>
  <si>
    <t>1 AB</t>
  </si>
  <si>
    <t>1.1 A</t>
  </si>
  <si>
    <t>1.2 A</t>
  </si>
  <si>
    <t>0.8 C</t>
  </si>
  <si>
    <t>8.6 CD</t>
  </si>
  <si>
    <t>7.9 EF</t>
  </si>
  <si>
    <t>8.3 DE</t>
  </si>
  <si>
    <t>7.7 F</t>
  </si>
  <si>
    <t>9.2 A</t>
  </si>
  <si>
    <t>8.8 BC</t>
  </si>
  <si>
    <t>7.8 F</t>
  </si>
  <si>
    <t>8 EF</t>
  </si>
  <si>
    <t>2.5 C</t>
  </si>
  <si>
    <t>3.3 AB</t>
  </si>
  <si>
    <t>3.4 AB</t>
  </si>
  <si>
    <t>3.5 AB</t>
  </si>
  <si>
    <t>2.7 BC</t>
  </si>
  <si>
    <t>4 A</t>
  </si>
  <si>
    <t>4.2 A</t>
  </si>
  <si>
    <t>3.8 A</t>
  </si>
  <si>
    <t>0.1 B</t>
  </si>
  <si>
    <t>0.2 A</t>
  </si>
  <si>
    <t>0.3 A</t>
  </si>
  <si>
    <t>18.4 A</t>
  </si>
  <si>
    <t>16.3 AB</t>
  </si>
  <si>
    <t>16.5 AB</t>
  </si>
  <si>
    <t>17 AB</t>
  </si>
  <si>
    <t>16.1 AB</t>
  </si>
  <si>
    <t>18.3 A</t>
  </si>
  <si>
    <t>16.2 AB</t>
  </si>
  <si>
    <t>15.4 B</t>
  </si>
  <si>
    <t>15.8 AB</t>
  </si>
  <si>
    <t>458.7 A</t>
  </si>
  <si>
    <t>780.8 A</t>
  </si>
  <si>
    <t>655.7 A</t>
  </si>
  <si>
    <t>709.2 A</t>
  </si>
  <si>
    <t>831.1 A</t>
  </si>
  <si>
    <t>566.4 A</t>
  </si>
  <si>
    <t>699.4 A</t>
  </si>
  <si>
    <t>749.7 A</t>
  </si>
  <si>
    <t>802.9 A</t>
  </si>
  <si>
    <t>813.3 A</t>
  </si>
  <si>
    <t>25.9 C</t>
  </si>
  <si>
    <t>60.9 AB</t>
  </si>
  <si>
    <t>55.1 AB</t>
  </si>
  <si>
    <t>52.5 B</t>
  </si>
  <si>
    <t>49.1 B</t>
  </si>
  <si>
    <t>27.1 C</t>
  </si>
  <si>
    <t>50.2 B</t>
  </si>
  <si>
    <t>72.8 A</t>
  </si>
  <si>
    <t>59.8 AB</t>
  </si>
  <si>
    <t>64.6 AB</t>
  </si>
  <si>
    <t>13 C</t>
  </si>
  <si>
    <t>31.9 AB</t>
  </si>
  <si>
    <t>21.6 BC</t>
  </si>
  <si>
    <t>25.4 AB</t>
  </si>
  <si>
    <t>23.3 B</t>
  </si>
  <si>
    <t>12.7 C</t>
  </si>
  <si>
    <t>44.3 A</t>
  </si>
  <si>
    <t>24.1 B</t>
  </si>
  <si>
    <t>31.5 AB</t>
  </si>
  <si>
    <t>26.9 AB</t>
  </si>
  <si>
    <t>10.8 D</t>
  </si>
  <si>
    <t>13.2 C</t>
  </si>
  <si>
    <t>13.6 ABC</t>
  </si>
  <si>
    <t>13.3 BC</t>
  </si>
  <si>
    <t>13.9 AB</t>
  </si>
  <si>
    <t>14 A</t>
  </si>
  <si>
    <t>1.1 D</t>
  </si>
  <si>
    <t>1.5 C</t>
  </si>
  <si>
    <t>1.7 B</t>
  </si>
  <si>
    <t>1.8 A</t>
  </si>
  <si>
    <t>9.6 A</t>
  </si>
  <si>
    <t>8.6 B</t>
  </si>
  <si>
    <t>7.3 D</t>
  </si>
  <si>
    <t>8 C</t>
  </si>
  <si>
    <t>7.4 D</t>
  </si>
  <si>
    <t>9.5 A</t>
  </si>
  <si>
    <t>8.9 B</t>
  </si>
  <si>
    <t>7.5 D</t>
  </si>
  <si>
    <t>8.1 C</t>
  </si>
  <si>
    <t>7.6 D</t>
  </si>
  <si>
    <t>6.7 C</t>
  </si>
  <si>
    <t>8 AB</t>
  </si>
  <si>
    <t>7.8 ABC</t>
  </si>
  <si>
    <t>8.3 A</t>
  </si>
  <si>
    <t>7.9 AB</t>
  </si>
  <si>
    <t>6.9 BC</t>
  </si>
  <si>
    <t>8.9 A</t>
  </si>
  <si>
    <t>8.2 A</t>
  </si>
  <si>
    <t>0.8 BC</t>
  </si>
  <si>
    <t>8.3 B</t>
  </si>
  <si>
    <t>7.3 DE</t>
  </si>
  <si>
    <t>7.8 BCD</t>
  </si>
  <si>
    <t>7.3 E</t>
  </si>
  <si>
    <t>9 A</t>
  </si>
  <si>
    <t>8.2 B</t>
  </si>
  <si>
    <t>7.5 CDE</t>
  </si>
  <si>
    <t>7.9 BC</t>
  </si>
  <si>
    <t>7.4 CDE</t>
  </si>
  <si>
    <t>2.1 BC</t>
  </si>
  <si>
    <t>2.8 AB</t>
  </si>
  <si>
    <t>2.6 ABC</t>
  </si>
  <si>
    <t>1.9 C</t>
  </si>
  <si>
    <t>2.4 ABC</t>
  </si>
  <si>
    <t>3.2 A</t>
  </si>
  <si>
    <t>3.1 A</t>
  </si>
  <si>
    <t>3 AB</t>
  </si>
  <si>
    <t>0.1 AB</t>
  </si>
  <si>
    <t>21.9 A</t>
  </si>
  <si>
    <t>21.3 A</t>
  </si>
  <si>
    <t>19.1 A</t>
  </si>
  <si>
    <t>19.8 A</t>
  </si>
  <si>
    <t>19 A</t>
  </si>
  <si>
    <t>19.6 A</t>
  </si>
  <si>
    <t>18.9 A</t>
  </si>
  <si>
    <t>457.9 A</t>
  </si>
  <si>
    <t>502.9 A</t>
  </si>
  <si>
    <t>607.7 A</t>
  </si>
  <si>
    <t>581.7 A</t>
  </si>
  <si>
    <t>621.1 A</t>
  </si>
  <si>
    <t>515.1 A</t>
  </si>
  <si>
    <t>679.9 A</t>
  </si>
  <si>
    <t>607 A</t>
  </si>
  <si>
    <t>589 A</t>
  </si>
  <si>
    <t>641.1 A</t>
  </si>
  <si>
    <t>22.1 C</t>
  </si>
  <si>
    <t>45.3 AB</t>
  </si>
  <si>
    <t>43.4 AB</t>
  </si>
  <si>
    <t>51.8 A</t>
  </si>
  <si>
    <t>49.6 A</t>
  </si>
  <si>
    <t>32.5 BC</t>
  </si>
  <si>
    <t>45.4 AB</t>
  </si>
  <si>
    <t>48.4 AB</t>
  </si>
  <si>
    <t>53.9 A</t>
  </si>
  <si>
    <t>46.7 AB</t>
  </si>
  <si>
    <t>874.3 D</t>
  </si>
  <si>
    <t>1489.9 B</t>
  </si>
  <si>
    <t>1302.2 C</t>
  </si>
  <si>
    <t>1356.9 C</t>
  </si>
  <si>
    <t>1298.2 C</t>
  </si>
  <si>
    <t>895.7 D</t>
  </si>
  <si>
    <t>1803 A</t>
  </si>
  <si>
    <t>1496.1 B</t>
  </si>
  <si>
    <t>1586 B</t>
  </si>
  <si>
    <t>1505.8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</si>
</sst>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A061-2367-2C41-A57F-52BAD5F53FB6}">
  <dimension ref="A1:AQ241"/>
  <sheetViews>
    <sheetView tabSelected="1" topLeftCell="AD1" workbookViewId="0">
      <selection activeCell="AG14" sqref="AG14:AP25"/>
    </sheetView>
  </sheetViews>
  <sheetFormatPr baseColWidth="10" defaultRowHeight="22" x14ac:dyDescent="0.3"/>
  <sheetData>
    <row r="1" spans="1:4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46</v>
      </c>
      <c r="N1" t="s">
        <v>47</v>
      </c>
      <c r="O1" t="s">
        <v>48</v>
      </c>
      <c r="P1" t="s">
        <v>1</v>
      </c>
      <c r="Q1" t="s">
        <v>8</v>
      </c>
      <c r="R1" t="s">
        <v>0</v>
      </c>
      <c r="S1" t="s">
        <v>10</v>
      </c>
      <c r="AE1" t="s">
        <v>8</v>
      </c>
      <c r="AF1" t="s">
        <v>10</v>
      </c>
    </row>
    <row r="2" spans="1:43" x14ac:dyDescent="0.3">
      <c r="A2">
        <v>1</v>
      </c>
      <c r="B2" t="s">
        <v>11</v>
      </c>
      <c r="C2" t="s">
        <v>12</v>
      </c>
      <c r="D2">
        <v>11.943657446870301</v>
      </c>
      <c r="E2">
        <v>0.14048606044447101</v>
      </c>
      <c r="F2">
        <v>3</v>
      </c>
      <c r="G2">
        <v>11.504832652042399</v>
      </c>
      <c r="H2">
        <v>12.399220181864701</v>
      </c>
      <c r="I2" t="s">
        <v>13</v>
      </c>
      <c r="J2" t="s">
        <v>14</v>
      </c>
      <c r="K2">
        <v>11.803171386425801</v>
      </c>
      <c r="L2" t="s">
        <v>15</v>
      </c>
      <c r="M2">
        <f>ROUND(D2,1)</f>
        <v>11.9</v>
      </c>
      <c r="N2">
        <f>ROUND(E2,1)</f>
        <v>0.1</v>
      </c>
      <c r="O2" t="str">
        <f>CONCATENATE(M2," ",I2)</f>
        <v>11.9 D</v>
      </c>
      <c r="P2" t="s">
        <v>12</v>
      </c>
      <c r="Q2" t="s">
        <v>14</v>
      </c>
      <c r="R2" t="s">
        <v>11</v>
      </c>
      <c r="S2" t="s">
        <v>15</v>
      </c>
      <c r="T2" t="str">
        <f>O2</f>
        <v>11.9 D</v>
      </c>
      <c r="U2" t="str">
        <f>O3</f>
        <v>15.1 C</v>
      </c>
      <c r="V2" t="str">
        <f>O4</f>
        <v>15.3 BC</v>
      </c>
      <c r="W2" t="str">
        <f>O5</f>
        <v>15.2 C</v>
      </c>
      <c r="X2" t="str">
        <f>O6</f>
        <v>15.9 ABC</v>
      </c>
      <c r="Y2" t="str">
        <f>O7</f>
        <v>12.3 D</v>
      </c>
      <c r="Z2" t="str">
        <f>O8</f>
        <v>15.7 ABC</v>
      </c>
      <c r="AA2" t="str">
        <f>O9</f>
        <v>16 AB</v>
      </c>
      <c r="AB2" t="str">
        <f>O10</f>
        <v>15.6 BC</v>
      </c>
      <c r="AC2" t="str">
        <f>O11</f>
        <v>16.5 A</v>
      </c>
      <c r="AD2">
        <v>1</v>
      </c>
      <c r="AE2" t="s">
        <v>14</v>
      </c>
      <c r="AF2" t="s">
        <v>15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>
        <v>1</v>
      </c>
    </row>
    <row r="3" spans="1:43" x14ac:dyDescent="0.3">
      <c r="A3">
        <v>2</v>
      </c>
      <c r="B3" t="s">
        <v>11</v>
      </c>
      <c r="C3" t="s">
        <v>16</v>
      </c>
      <c r="D3">
        <v>15.060971514983301</v>
      </c>
      <c r="E3">
        <v>0.17715315128707401</v>
      </c>
      <c r="F3">
        <v>3</v>
      </c>
      <c r="G3">
        <v>14.5076127331888</v>
      </c>
      <c r="H3">
        <v>15.6354368666195</v>
      </c>
      <c r="I3" t="s">
        <v>17</v>
      </c>
      <c r="J3" t="s">
        <v>14</v>
      </c>
      <c r="K3">
        <v>14.8838183636962</v>
      </c>
      <c r="L3" t="s">
        <v>15</v>
      </c>
      <c r="M3">
        <f t="shared" ref="M3:M66" si="0">ROUND(D3,1)</f>
        <v>15.1</v>
      </c>
      <c r="N3">
        <f t="shared" ref="N3:N66" si="1">ROUND(E3,1)</f>
        <v>0.2</v>
      </c>
      <c r="O3" t="str">
        <f t="shared" ref="O3:O66" si="2">CONCATENATE(M3," ",I3)</f>
        <v>15.1 C</v>
      </c>
      <c r="P3" t="s">
        <v>16</v>
      </c>
      <c r="Q3" t="s">
        <v>14</v>
      </c>
      <c r="R3" t="s">
        <v>11</v>
      </c>
      <c r="S3" t="s">
        <v>15</v>
      </c>
      <c r="AE3" t="s">
        <v>14</v>
      </c>
      <c r="AF3" t="s">
        <v>27</v>
      </c>
      <c r="AG3" t="s">
        <v>59</v>
      </c>
      <c r="AH3" t="s">
        <v>60</v>
      </c>
      <c r="AI3" t="s">
        <v>61</v>
      </c>
      <c r="AJ3" t="s">
        <v>62</v>
      </c>
      <c r="AK3" t="s">
        <v>61</v>
      </c>
      <c r="AL3" t="s">
        <v>59</v>
      </c>
      <c r="AM3" t="s">
        <v>60</v>
      </c>
      <c r="AN3" t="s">
        <v>63</v>
      </c>
      <c r="AO3" t="s">
        <v>62</v>
      </c>
      <c r="AP3" t="s">
        <v>63</v>
      </c>
      <c r="AQ3">
        <v>1</v>
      </c>
    </row>
    <row r="4" spans="1:43" x14ac:dyDescent="0.3">
      <c r="A4">
        <v>3</v>
      </c>
      <c r="B4" t="s">
        <v>11</v>
      </c>
      <c r="C4" t="s">
        <v>18</v>
      </c>
      <c r="D4">
        <v>15.2895589379236</v>
      </c>
      <c r="E4">
        <v>0.17984188768619599</v>
      </c>
      <c r="F4">
        <v>3</v>
      </c>
      <c r="G4">
        <v>14.727801570568699</v>
      </c>
      <c r="H4">
        <v>15.872743219422301</v>
      </c>
      <c r="I4" t="s">
        <v>19</v>
      </c>
      <c r="J4" t="s">
        <v>14</v>
      </c>
      <c r="K4">
        <v>15.1097170502374</v>
      </c>
      <c r="L4" t="s">
        <v>15</v>
      </c>
      <c r="M4">
        <f t="shared" si="0"/>
        <v>15.3</v>
      </c>
      <c r="N4">
        <f t="shared" si="1"/>
        <v>0.2</v>
      </c>
      <c r="O4" t="str">
        <f t="shared" si="2"/>
        <v>15.3 BC</v>
      </c>
      <c r="P4" t="s">
        <v>18</v>
      </c>
      <c r="Q4" t="s">
        <v>14</v>
      </c>
      <c r="R4" t="s">
        <v>11</v>
      </c>
      <c r="S4" t="s">
        <v>15</v>
      </c>
      <c r="AE4" t="s">
        <v>14</v>
      </c>
      <c r="AF4" t="s">
        <v>29</v>
      </c>
      <c r="AG4" t="s">
        <v>64</v>
      </c>
      <c r="AH4" t="s">
        <v>65</v>
      </c>
      <c r="AI4" t="s">
        <v>66</v>
      </c>
      <c r="AJ4" t="s">
        <v>67</v>
      </c>
      <c r="AK4" t="s">
        <v>68</v>
      </c>
      <c r="AL4" t="s">
        <v>69</v>
      </c>
      <c r="AM4" t="s">
        <v>64</v>
      </c>
      <c r="AN4" t="s">
        <v>70</v>
      </c>
      <c r="AO4" t="s">
        <v>71</v>
      </c>
      <c r="AP4" t="s">
        <v>72</v>
      </c>
      <c r="AQ4">
        <v>1</v>
      </c>
    </row>
    <row r="5" spans="1:43" x14ac:dyDescent="0.3">
      <c r="A5">
        <v>4</v>
      </c>
      <c r="B5" t="s">
        <v>11</v>
      </c>
      <c r="C5" t="s">
        <v>20</v>
      </c>
      <c r="D5">
        <v>15.1606405879043</v>
      </c>
      <c r="E5">
        <v>0.17832549865764399</v>
      </c>
      <c r="F5">
        <v>3</v>
      </c>
      <c r="G5">
        <v>14.603619840696799</v>
      </c>
      <c r="H5">
        <v>15.738907582015299</v>
      </c>
      <c r="I5" t="s">
        <v>17</v>
      </c>
      <c r="J5" t="s">
        <v>14</v>
      </c>
      <c r="K5">
        <v>14.982315089246599</v>
      </c>
      <c r="L5" t="s">
        <v>15</v>
      </c>
      <c r="M5">
        <f t="shared" si="0"/>
        <v>15.2</v>
      </c>
      <c r="N5">
        <f t="shared" si="1"/>
        <v>0.2</v>
      </c>
      <c r="O5" t="str">
        <f t="shared" si="2"/>
        <v>15.2 C</v>
      </c>
      <c r="P5" t="s">
        <v>20</v>
      </c>
      <c r="Q5" t="s">
        <v>14</v>
      </c>
      <c r="R5" t="s">
        <v>11</v>
      </c>
      <c r="S5" t="s">
        <v>15</v>
      </c>
      <c r="AE5" t="s">
        <v>14</v>
      </c>
      <c r="AF5" t="s">
        <v>33</v>
      </c>
      <c r="AG5" t="s">
        <v>73</v>
      </c>
      <c r="AH5" t="s">
        <v>74</v>
      </c>
      <c r="AI5" t="s">
        <v>75</v>
      </c>
      <c r="AJ5" t="s">
        <v>75</v>
      </c>
      <c r="AK5" t="s">
        <v>76</v>
      </c>
      <c r="AL5" t="s">
        <v>77</v>
      </c>
      <c r="AM5" t="s">
        <v>78</v>
      </c>
      <c r="AN5" t="s">
        <v>79</v>
      </c>
      <c r="AO5" t="s">
        <v>76</v>
      </c>
      <c r="AP5" t="s">
        <v>80</v>
      </c>
      <c r="AQ5">
        <v>1</v>
      </c>
    </row>
    <row r="6" spans="1:43" x14ac:dyDescent="0.3">
      <c r="A6">
        <v>5</v>
      </c>
      <c r="B6" t="s">
        <v>11</v>
      </c>
      <c r="C6" t="s">
        <v>21</v>
      </c>
      <c r="D6">
        <v>15.8509506387112</v>
      </c>
      <c r="E6">
        <v>0.18644520067978301</v>
      </c>
      <c r="F6">
        <v>3</v>
      </c>
      <c r="G6">
        <v>15.268567043669099</v>
      </c>
      <c r="H6">
        <v>16.455547886861901</v>
      </c>
      <c r="I6" t="s">
        <v>22</v>
      </c>
      <c r="J6" t="s">
        <v>14</v>
      </c>
      <c r="K6">
        <v>15.6645054380314</v>
      </c>
      <c r="L6" t="s">
        <v>15</v>
      </c>
      <c r="M6">
        <f t="shared" si="0"/>
        <v>15.9</v>
      </c>
      <c r="N6">
        <f t="shared" si="1"/>
        <v>0.2</v>
      </c>
      <c r="O6" t="str">
        <f t="shared" si="2"/>
        <v>15.9 ABC</v>
      </c>
      <c r="P6" t="s">
        <v>21</v>
      </c>
      <c r="Q6" t="s">
        <v>14</v>
      </c>
      <c r="R6" t="s">
        <v>11</v>
      </c>
      <c r="S6" t="s">
        <v>15</v>
      </c>
      <c r="AE6" t="s">
        <v>14</v>
      </c>
      <c r="AF6" t="s">
        <v>34</v>
      </c>
      <c r="AG6" t="s">
        <v>81</v>
      </c>
      <c r="AH6" t="s">
        <v>82</v>
      </c>
      <c r="AI6" t="s">
        <v>83</v>
      </c>
      <c r="AJ6" t="s">
        <v>83</v>
      </c>
      <c r="AK6" t="s">
        <v>84</v>
      </c>
      <c r="AL6" t="s">
        <v>85</v>
      </c>
      <c r="AM6" t="s">
        <v>82</v>
      </c>
      <c r="AN6" t="s">
        <v>84</v>
      </c>
      <c r="AO6" t="s">
        <v>83</v>
      </c>
      <c r="AP6" t="s">
        <v>83</v>
      </c>
      <c r="AQ6">
        <v>1</v>
      </c>
    </row>
    <row r="7" spans="1:43" x14ac:dyDescent="0.3">
      <c r="A7">
        <v>6</v>
      </c>
      <c r="B7" t="s">
        <v>23</v>
      </c>
      <c r="C7" t="s">
        <v>12</v>
      </c>
      <c r="D7">
        <v>12.281760829681</v>
      </c>
      <c r="E7">
        <v>0.14446296722409999</v>
      </c>
      <c r="F7">
        <v>3</v>
      </c>
      <c r="G7">
        <v>11.8305136970347</v>
      </c>
      <c r="H7">
        <v>12.7502197233662</v>
      </c>
      <c r="I7" t="s">
        <v>13</v>
      </c>
      <c r="J7" t="s">
        <v>14</v>
      </c>
      <c r="K7">
        <v>12.137297862456901</v>
      </c>
      <c r="L7" t="s">
        <v>15</v>
      </c>
      <c r="M7">
        <f t="shared" si="0"/>
        <v>12.3</v>
      </c>
      <c r="N7">
        <f t="shared" si="1"/>
        <v>0.1</v>
      </c>
      <c r="O7" t="str">
        <f t="shared" si="2"/>
        <v>12.3 D</v>
      </c>
      <c r="P7" t="s">
        <v>12</v>
      </c>
      <c r="Q7" t="s">
        <v>14</v>
      </c>
      <c r="R7" t="s">
        <v>23</v>
      </c>
      <c r="S7" t="s">
        <v>15</v>
      </c>
      <c r="AE7" t="s">
        <v>14</v>
      </c>
      <c r="AF7" t="s">
        <v>35</v>
      </c>
      <c r="AG7" t="s">
        <v>76</v>
      </c>
      <c r="AH7" t="s">
        <v>86</v>
      </c>
      <c r="AI7" t="s">
        <v>87</v>
      </c>
      <c r="AJ7" t="s">
        <v>88</v>
      </c>
      <c r="AK7" t="s">
        <v>89</v>
      </c>
      <c r="AL7" t="s">
        <v>90</v>
      </c>
      <c r="AM7" t="s">
        <v>91</v>
      </c>
      <c r="AN7" t="s">
        <v>92</v>
      </c>
      <c r="AO7" t="s">
        <v>88</v>
      </c>
      <c r="AP7" t="s">
        <v>93</v>
      </c>
      <c r="AQ7">
        <v>1</v>
      </c>
    </row>
    <row r="8" spans="1:43" x14ac:dyDescent="0.3">
      <c r="A8">
        <v>7</v>
      </c>
      <c r="B8" t="s">
        <v>23</v>
      </c>
      <c r="C8" t="s">
        <v>16</v>
      </c>
      <c r="D8">
        <v>15.7319674443634</v>
      </c>
      <c r="E8">
        <v>0.185045672913068</v>
      </c>
      <c r="F8">
        <v>3</v>
      </c>
      <c r="G8">
        <v>15.1539554395214</v>
      </c>
      <c r="H8">
        <v>16.332026358282999</v>
      </c>
      <c r="I8" t="s">
        <v>22</v>
      </c>
      <c r="J8" t="s">
        <v>14</v>
      </c>
      <c r="K8">
        <v>15.5469217714503</v>
      </c>
      <c r="L8" t="s">
        <v>15</v>
      </c>
      <c r="M8">
        <f t="shared" si="0"/>
        <v>15.7</v>
      </c>
      <c r="N8">
        <f t="shared" si="1"/>
        <v>0.2</v>
      </c>
      <c r="O8" t="str">
        <f t="shared" si="2"/>
        <v>15.7 ABC</v>
      </c>
      <c r="P8" t="s">
        <v>16</v>
      </c>
      <c r="Q8" t="s">
        <v>14</v>
      </c>
      <c r="R8" t="s">
        <v>23</v>
      </c>
      <c r="S8" t="s">
        <v>15</v>
      </c>
      <c r="AE8" t="s">
        <v>14</v>
      </c>
      <c r="AF8" t="s">
        <v>40</v>
      </c>
      <c r="AG8" t="s">
        <v>94</v>
      </c>
      <c r="AH8" t="s">
        <v>95</v>
      </c>
      <c r="AI8" t="s">
        <v>96</v>
      </c>
      <c r="AJ8" t="s">
        <v>96</v>
      </c>
      <c r="AK8" t="s">
        <v>97</v>
      </c>
      <c r="AL8" t="s">
        <v>98</v>
      </c>
      <c r="AM8" t="s">
        <v>99</v>
      </c>
      <c r="AN8" t="s">
        <v>100</v>
      </c>
      <c r="AO8" t="s">
        <v>101</v>
      </c>
      <c r="AP8" t="s">
        <v>101</v>
      </c>
      <c r="AQ8">
        <v>1</v>
      </c>
    </row>
    <row r="9" spans="1:43" x14ac:dyDescent="0.3">
      <c r="A9">
        <v>8</v>
      </c>
      <c r="B9" t="s">
        <v>23</v>
      </c>
      <c r="C9" t="s">
        <v>18</v>
      </c>
      <c r="D9">
        <v>16.024353173334202</v>
      </c>
      <c r="E9">
        <v>0.18848483042206601</v>
      </c>
      <c r="F9">
        <v>3</v>
      </c>
      <c r="G9">
        <v>15.4355985540044</v>
      </c>
      <c r="H9">
        <v>16.635564453516501</v>
      </c>
      <c r="I9" t="s">
        <v>24</v>
      </c>
      <c r="J9" t="s">
        <v>14</v>
      </c>
      <c r="K9">
        <v>15.8358683429122</v>
      </c>
      <c r="L9" t="s">
        <v>15</v>
      </c>
      <c r="M9">
        <f t="shared" si="0"/>
        <v>16</v>
      </c>
      <c r="N9">
        <f t="shared" si="1"/>
        <v>0.2</v>
      </c>
      <c r="O9" t="str">
        <f t="shared" si="2"/>
        <v>16 AB</v>
      </c>
      <c r="P9" t="s">
        <v>18</v>
      </c>
      <c r="Q9" t="s">
        <v>14</v>
      </c>
      <c r="R9" t="s">
        <v>23</v>
      </c>
      <c r="S9" t="s">
        <v>15</v>
      </c>
      <c r="AE9" t="s">
        <v>14</v>
      </c>
      <c r="AF9" t="s">
        <v>41</v>
      </c>
      <c r="AG9" t="s">
        <v>102</v>
      </c>
      <c r="AH9" t="s">
        <v>103</v>
      </c>
      <c r="AI9" t="s">
        <v>103</v>
      </c>
      <c r="AJ9" t="s">
        <v>103</v>
      </c>
      <c r="AK9" t="s">
        <v>103</v>
      </c>
      <c r="AL9" t="s">
        <v>102</v>
      </c>
      <c r="AM9" t="s">
        <v>103</v>
      </c>
      <c r="AN9" t="s">
        <v>104</v>
      </c>
      <c r="AO9" t="s">
        <v>103</v>
      </c>
      <c r="AP9" t="s">
        <v>103</v>
      </c>
      <c r="AQ9">
        <v>1</v>
      </c>
    </row>
    <row r="10" spans="1:43" x14ac:dyDescent="0.3">
      <c r="A10">
        <v>9</v>
      </c>
      <c r="B10" t="s">
        <v>23</v>
      </c>
      <c r="C10" t="s">
        <v>20</v>
      </c>
      <c r="D10">
        <v>15.642183307799399</v>
      </c>
      <c r="E10">
        <v>0.183989596104737</v>
      </c>
      <c r="F10">
        <v>3</v>
      </c>
      <c r="G10">
        <v>15.067470083542901</v>
      </c>
      <c r="H10">
        <v>16.238817616903098</v>
      </c>
      <c r="I10" t="s">
        <v>19</v>
      </c>
      <c r="J10" t="s">
        <v>14</v>
      </c>
      <c r="K10">
        <v>15.4581937116946</v>
      </c>
      <c r="L10" t="s">
        <v>15</v>
      </c>
      <c r="M10">
        <f t="shared" si="0"/>
        <v>15.6</v>
      </c>
      <c r="N10">
        <f t="shared" si="1"/>
        <v>0.2</v>
      </c>
      <c r="O10" t="str">
        <f t="shared" si="2"/>
        <v>15.6 BC</v>
      </c>
      <c r="P10" t="s">
        <v>20</v>
      </c>
      <c r="Q10" t="s">
        <v>14</v>
      </c>
      <c r="R10" t="s">
        <v>23</v>
      </c>
      <c r="S10" t="s">
        <v>15</v>
      </c>
      <c r="AE10" t="s">
        <v>14</v>
      </c>
      <c r="AF10" t="s">
        <v>42</v>
      </c>
      <c r="AG10" t="s">
        <v>105</v>
      </c>
      <c r="AH10" t="s">
        <v>106</v>
      </c>
      <c r="AI10" t="s">
        <v>107</v>
      </c>
      <c r="AJ10" t="s">
        <v>108</v>
      </c>
      <c r="AK10" t="s">
        <v>109</v>
      </c>
      <c r="AL10" t="s">
        <v>110</v>
      </c>
      <c r="AM10" t="s">
        <v>109</v>
      </c>
      <c r="AN10" t="s">
        <v>111</v>
      </c>
      <c r="AO10" t="s">
        <v>112</v>
      </c>
      <c r="AP10" t="s">
        <v>113</v>
      </c>
      <c r="AQ10">
        <v>1</v>
      </c>
    </row>
    <row r="11" spans="1:43" x14ac:dyDescent="0.3">
      <c r="A11">
        <v>10</v>
      </c>
      <c r="B11" t="s">
        <v>23</v>
      </c>
      <c r="C11" t="s">
        <v>21</v>
      </c>
      <c r="D11">
        <v>16.5210127291442</v>
      </c>
      <c r="E11">
        <v>0.19432673811979001</v>
      </c>
      <c r="F11">
        <v>3</v>
      </c>
      <c r="G11">
        <v>15.9140102214563</v>
      </c>
      <c r="H11">
        <v>17.151167920487101</v>
      </c>
      <c r="I11" t="s">
        <v>25</v>
      </c>
      <c r="J11" t="s">
        <v>14</v>
      </c>
      <c r="K11">
        <v>16.326685991024501</v>
      </c>
      <c r="L11" t="s">
        <v>15</v>
      </c>
      <c r="M11">
        <f t="shared" si="0"/>
        <v>16.5</v>
      </c>
      <c r="N11">
        <f t="shared" si="1"/>
        <v>0.2</v>
      </c>
      <c r="O11" t="str">
        <f t="shared" si="2"/>
        <v>16.5 A</v>
      </c>
      <c r="P11" t="s">
        <v>21</v>
      </c>
      <c r="Q11" t="s">
        <v>14</v>
      </c>
      <c r="R11" t="s">
        <v>23</v>
      </c>
      <c r="S11" t="s">
        <v>15</v>
      </c>
      <c r="AE11" t="s">
        <v>14</v>
      </c>
      <c r="AF11" t="s">
        <v>43</v>
      </c>
      <c r="AG11" t="s">
        <v>114</v>
      </c>
      <c r="AH11" t="s">
        <v>115</v>
      </c>
      <c r="AI11" t="s">
        <v>116</v>
      </c>
      <c r="AJ11" t="s">
        <v>117</v>
      </c>
      <c r="AK11" t="s">
        <v>118</v>
      </c>
      <c r="AL11" t="s">
        <v>119</v>
      </c>
      <c r="AM11" t="s">
        <v>120</v>
      </c>
      <c r="AN11" t="s">
        <v>121</v>
      </c>
      <c r="AO11" t="s">
        <v>122</v>
      </c>
      <c r="AP11" t="s">
        <v>123</v>
      </c>
      <c r="AQ11">
        <v>1</v>
      </c>
    </row>
    <row r="12" spans="1:43" x14ac:dyDescent="0.3">
      <c r="A12">
        <v>21</v>
      </c>
      <c r="B12" t="s">
        <v>11</v>
      </c>
      <c r="C12" t="s">
        <v>12</v>
      </c>
      <c r="D12">
        <v>1.2148551766225799</v>
      </c>
      <c r="E12">
        <v>1.2107451738626601E-2</v>
      </c>
      <c r="F12">
        <v>3</v>
      </c>
      <c r="G12">
        <v>1.1769284972907901</v>
      </c>
      <c r="H12">
        <v>1.25400404830374</v>
      </c>
      <c r="I12" t="s">
        <v>13</v>
      </c>
      <c r="J12" t="s">
        <v>14</v>
      </c>
      <c r="K12">
        <v>1.20274772488396</v>
      </c>
      <c r="L12" t="s">
        <v>27</v>
      </c>
      <c r="M12">
        <f t="shared" si="0"/>
        <v>1.2</v>
      </c>
      <c r="N12">
        <f t="shared" si="1"/>
        <v>0</v>
      </c>
      <c r="O12" t="str">
        <f t="shared" si="2"/>
        <v>1.2 D</v>
      </c>
      <c r="P12" t="s">
        <v>12</v>
      </c>
      <c r="Q12" t="s">
        <v>14</v>
      </c>
      <c r="R12" t="s">
        <v>11</v>
      </c>
      <c r="S12" t="s">
        <v>27</v>
      </c>
      <c r="T12" t="str">
        <f>O12</f>
        <v>1.2 D</v>
      </c>
      <c r="U12" t="str">
        <f>O13</f>
        <v>1.6 C</v>
      </c>
      <c r="V12" t="str">
        <f>O14</f>
        <v>1.9 A</v>
      </c>
      <c r="W12" t="str">
        <f>O15</f>
        <v>1.8 B</v>
      </c>
      <c r="X12" t="str">
        <f>O16</f>
        <v>1.9 A</v>
      </c>
      <c r="Y12" t="str">
        <f>O17</f>
        <v>1.2 D</v>
      </c>
      <c r="Z12" t="str">
        <f>O18</f>
        <v>1.6 C</v>
      </c>
      <c r="AA12" t="str">
        <f>O19</f>
        <v>2 A</v>
      </c>
      <c r="AB12" t="str">
        <f>O20</f>
        <v>1.8 B</v>
      </c>
      <c r="AC12" t="str">
        <f>O21</f>
        <v>2 A</v>
      </c>
      <c r="AD12">
        <v>1</v>
      </c>
      <c r="AE12" t="s">
        <v>14</v>
      </c>
      <c r="AF12" t="s">
        <v>44</v>
      </c>
      <c r="AG12" t="s">
        <v>124</v>
      </c>
      <c r="AH12" t="s">
        <v>125</v>
      </c>
      <c r="AI12" t="s">
        <v>126</v>
      </c>
      <c r="AJ12" t="s">
        <v>127</v>
      </c>
      <c r="AK12" t="s">
        <v>128</v>
      </c>
      <c r="AL12" t="s">
        <v>129</v>
      </c>
      <c r="AM12" t="s">
        <v>130</v>
      </c>
      <c r="AN12" t="s">
        <v>131</v>
      </c>
      <c r="AO12" t="s">
        <v>132</v>
      </c>
      <c r="AP12" t="s">
        <v>133</v>
      </c>
      <c r="AQ12">
        <v>1</v>
      </c>
    </row>
    <row r="13" spans="1:43" x14ac:dyDescent="0.3">
      <c r="A13">
        <v>22</v>
      </c>
      <c r="B13" t="s">
        <v>11</v>
      </c>
      <c r="C13" t="s">
        <v>16</v>
      </c>
      <c r="D13">
        <v>1.5870737115832301</v>
      </c>
      <c r="E13">
        <v>1.5817044482666399E-2</v>
      </c>
      <c r="F13">
        <v>3</v>
      </c>
      <c r="G13">
        <v>1.5375267063982401</v>
      </c>
      <c r="H13">
        <v>1.6382173756832099</v>
      </c>
      <c r="I13" t="s">
        <v>17</v>
      </c>
      <c r="J13" t="s">
        <v>14</v>
      </c>
      <c r="K13">
        <v>1.5712566671005599</v>
      </c>
      <c r="L13" t="s">
        <v>27</v>
      </c>
      <c r="M13">
        <f t="shared" si="0"/>
        <v>1.6</v>
      </c>
      <c r="N13">
        <f t="shared" si="1"/>
        <v>0</v>
      </c>
      <c r="O13" t="str">
        <f t="shared" si="2"/>
        <v>1.6 C</v>
      </c>
      <c r="P13" t="s">
        <v>16</v>
      </c>
      <c r="Q13" t="s">
        <v>14</v>
      </c>
      <c r="R13" t="s">
        <v>11</v>
      </c>
      <c r="S13" t="s">
        <v>27</v>
      </c>
      <c r="AE13" t="s">
        <v>14</v>
      </c>
      <c r="AF13" t="s">
        <v>45</v>
      </c>
      <c r="AG13" t="s">
        <v>134</v>
      </c>
      <c r="AH13" t="s">
        <v>135</v>
      </c>
      <c r="AI13" t="s">
        <v>136</v>
      </c>
      <c r="AJ13" t="s">
        <v>137</v>
      </c>
      <c r="AK13" t="s">
        <v>138</v>
      </c>
      <c r="AL13" t="s">
        <v>139</v>
      </c>
      <c r="AM13" t="s">
        <v>140</v>
      </c>
      <c r="AN13" t="s">
        <v>141</v>
      </c>
      <c r="AO13" t="s">
        <v>142</v>
      </c>
      <c r="AP13" t="s">
        <v>143</v>
      </c>
      <c r="AQ13">
        <v>1</v>
      </c>
    </row>
    <row r="14" spans="1:43" x14ac:dyDescent="0.3">
      <c r="A14">
        <v>23</v>
      </c>
      <c r="B14" t="s">
        <v>11</v>
      </c>
      <c r="C14" t="s">
        <v>18</v>
      </c>
      <c r="D14">
        <v>1.94607701142378</v>
      </c>
      <c r="E14">
        <v>1.9394931962976002E-2</v>
      </c>
      <c r="F14">
        <v>3</v>
      </c>
      <c r="G14">
        <v>1.8853222480680101</v>
      </c>
      <c r="H14">
        <v>2.0087896052110401</v>
      </c>
      <c r="I14" t="s">
        <v>25</v>
      </c>
      <c r="J14" t="s">
        <v>14</v>
      </c>
      <c r="K14">
        <v>1.9266820794608099</v>
      </c>
      <c r="L14" t="s">
        <v>27</v>
      </c>
      <c r="M14">
        <f t="shared" si="0"/>
        <v>1.9</v>
      </c>
      <c r="N14">
        <f t="shared" si="1"/>
        <v>0</v>
      </c>
      <c r="O14" t="str">
        <f t="shared" si="2"/>
        <v>1.9 A</v>
      </c>
      <c r="P14" t="s">
        <v>18</v>
      </c>
      <c r="Q14" t="s">
        <v>14</v>
      </c>
      <c r="R14" t="s">
        <v>11</v>
      </c>
      <c r="S14" t="s">
        <v>27</v>
      </c>
      <c r="AE14" t="s">
        <v>26</v>
      </c>
      <c r="AF14" t="s">
        <v>15</v>
      </c>
      <c r="AG14" t="s">
        <v>144</v>
      </c>
      <c r="AH14" t="s">
        <v>145</v>
      </c>
      <c r="AI14" t="s">
        <v>146</v>
      </c>
      <c r="AJ14" t="s">
        <v>147</v>
      </c>
      <c r="AK14" t="s">
        <v>148</v>
      </c>
      <c r="AL14" t="s">
        <v>144</v>
      </c>
      <c r="AM14" t="s">
        <v>146</v>
      </c>
      <c r="AN14" t="s">
        <v>149</v>
      </c>
      <c r="AO14" t="s">
        <v>146</v>
      </c>
      <c r="AP14" t="s">
        <v>148</v>
      </c>
      <c r="AQ14">
        <v>1</v>
      </c>
    </row>
    <row r="15" spans="1:43" x14ac:dyDescent="0.3">
      <c r="A15">
        <v>24</v>
      </c>
      <c r="B15" t="s">
        <v>11</v>
      </c>
      <c r="C15" t="s">
        <v>20</v>
      </c>
      <c r="D15">
        <v>1.760761113304</v>
      </c>
      <c r="E15">
        <v>1.7548042443911501E-2</v>
      </c>
      <c r="F15">
        <v>3</v>
      </c>
      <c r="G15">
        <v>1.70579174460129</v>
      </c>
      <c r="H15">
        <v>1.8175018773163401</v>
      </c>
      <c r="I15" t="s">
        <v>28</v>
      </c>
      <c r="J15" t="s">
        <v>14</v>
      </c>
      <c r="K15">
        <v>1.7432130708600899</v>
      </c>
      <c r="L15" t="s">
        <v>27</v>
      </c>
      <c r="M15">
        <f t="shared" si="0"/>
        <v>1.8</v>
      </c>
      <c r="N15">
        <f t="shared" si="1"/>
        <v>0</v>
      </c>
      <c r="O15" t="str">
        <f t="shared" si="2"/>
        <v>1.8 B</v>
      </c>
      <c r="P15" t="s">
        <v>20</v>
      </c>
      <c r="Q15" t="s">
        <v>14</v>
      </c>
      <c r="R15" t="s">
        <v>11</v>
      </c>
      <c r="S15" t="s">
        <v>27</v>
      </c>
      <c r="AE15" t="s">
        <v>26</v>
      </c>
      <c r="AF15" t="s">
        <v>27</v>
      </c>
      <c r="AG15" t="s">
        <v>150</v>
      </c>
      <c r="AH15" t="s">
        <v>151</v>
      </c>
      <c r="AI15" t="s">
        <v>61</v>
      </c>
      <c r="AJ15" t="s">
        <v>152</v>
      </c>
      <c r="AK15" t="s">
        <v>61</v>
      </c>
      <c r="AL15" t="s">
        <v>150</v>
      </c>
      <c r="AM15" t="s">
        <v>151</v>
      </c>
      <c r="AN15" t="s">
        <v>61</v>
      </c>
      <c r="AO15" t="s">
        <v>152</v>
      </c>
      <c r="AP15" t="s">
        <v>153</v>
      </c>
      <c r="AQ15">
        <v>1</v>
      </c>
    </row>
    <row r="16" spans="1:43" x14ac:dyDescent="0.3">
      <c r="A16">
        <v>25</v>
      </c>
      <c r="B16" t="s">
        <v>11</v>
      </c>
      <c r="C16" t="s">
        <v>21</v>
      </c>
      <c r="D16">
        <v>1.9395647066783399</v>
      </c>
      <c r="E16">
        <v>1.9330029234708501E-2</v>
      </c>
      <c r="F16">
        <v>3</v>
      </c>
      <c r="G16">
        <v>1.8790132515839399</v>
      </c>
      <c r="H16">
        <v>2.0020674405681</v>
      </c>
      <c r="I16" t="s">
        <v>25</v>
      </c>
      <c r="J16" t="s">
        <v>14</v>
      </c>
      <c r="K16">
        <v>1.9202346774436301</v>
      </c>
      <c r="L16" t="s">
        <v>27</v>
      </c>
      <c r="M16">
        <f t="shared" si="0"/>
        <v>1.9</v>
      </c>
      <c r="N16">
        <f t="shared" si="1"/>
        <v>0</v>
      </c>
      <c r="O16" t="str">
        <f t="shared" si="2"/>
        <v>1.9 A</v>
      </c>
      <c r="P16" t="s">
        <v>21</v>
      </c>
      <c r="Q16" t="s">
        <v>14</v>
      </c>
      <c r="R16" t="s">
        <v>11</v>
      </c>
      <c r="S16" t="s">
        <v>27</v>
      </c>
      <c r="AE16" t="s">
        <v>26</v>
      </c>
      <c r="AF16" t="s">
        <v>29</v>
      </c>
      <c r="AG16" t="s">
        <v>154</v>
      </c>
      <c r="AH16" t="s">
        <v>155</v>
      </c>
      <c r="AI16" t="s">
        <v>156</v>
      </c>
      <c r="AJ16" t="s">
        <v>157</v>
      </c>
      <c r="AK16" t="s">
        <v>158</v>
      </c>
      <c r="AL16" t="s">
        <v>159</v>
      </c>
      <c r="AM16" t="s">
        <v>160</v>
      </c>
      <c r="AN16" t="s">
        <v>161</v>
      </c>
      <c r="AO16" t="s">
        <v>162</v>
      </c>
      <c r="AP16" t="s">
        <v>163</v>
      </c>
      <c r="AQ16">
        <v>1</v>
      </c>
    </row>
    <row r="17" spans="1:43" x14ac:dyDescent="0.3">
      <c r="A17">
        <v>26</v>
      </c>
      <c r="B17" t="s">
        <v>23</v>
      </c>
      <c r="C17" t="s">
        <v>12</v>
      </c>
      <c r="D17">
        <v>1.21937943280642</v>
      </c>
      <c r="E17">
        <v>1.2152541239377901E-2</v>
      </c>
      <c r="F17">
        <v>3</v>
      </c>
      <c r="G17">
        <v>1.1813115102904199</v>
      </c>
      <c r="H17">
        <v>1.2586740992524199</v>
      </c>
      <c r="I17" t="s">
        <v>13</v>
      </c>
      <c r="J17" t="s">
        <v>14</v>
      </c>
      <c r="K17">
        <v>1.2072268915670401</v>
      </c>
      <c r="L17" t="s">
        <v>27</v>
      </c>
      <c r="M17">
        <f t="shared" si="0"/>
        <v>1.2</v>
      </c>
      <c r="N17">
        <f t="shared" si="1"/>
        <v>0</v>
      </c>
      <c r="O17" t="str">
        <f t="shared" si="2"/>
        <v>1.2 D</v>
      </c>
      <c r="P17" t="s">
        <v>12</v>
      </c>
      <c r="Q17" t="s">
        <v>14</v>
      </c>
      <c r="R17" t="s">
        <v>23</v>
      </c>
      <c r="S17" t="s">
        <v>27</v>
      </c>
      <c r="AE17" t="s">
        <v>26</v>
      </c>
      <c r="AF17" t="s">
        <v>33</v>
      </c>
      <c r="AG17" t="s">
        <v>164</v>
      </c>
      <c r="AH17" t="s">
        <v>165</v>
      </c>
      <c r="AI17" t="s">
        <v>166</v>
      </c>
      <c r="AJ17" t="s">
        <v>167</v>
      </c>
      <c r="AK17" t="s">
        <v>168</v>
      </c>
      <c r="AL17" t="s">
        <v>169</v>
      </c>
      <c r="AM17" t="s">
        <v>170</v>
      </c>
      <c r="AN17" t="s">
        <v>166</v>
      </c>
      <c r="AO17" t="s">
        <v>167</v>
      </c>
      <c r="AP17" t="s">
        <v>171</v>
      </c>
      <c r="AQ17">
        <v>1</v>
      </c>
    </row>
    <row r="18" spans="1:43" x14ac:dyDescent="0.3">
      <c r="A18">
        <v>27</v>
      </c>
      <c r="B18" t="s">
        <v>23</v>
      </c>
      <c r="C18" t="s">
        <v>16</v>
      </c>
      <c r="D18">
        <v>1.6070098628699701</v>
      </c>
      <c r="E18">
        <v>1.6015731531298202E-2</v>
      </c>
      <c r="F18">
        <v>3</v>
      </c>
      <c r="G18">
        <v>1.55684046908137</v>
      </c>
      <c r="H18">
        <v>1.65879597213013</v>
      </c>
      <c r="I18" t="s">
        <v>17</v>
      </c>
      <c r="J18" t="s">
        <v>14</v>
      </c>
      <c r="K18">
        <v>1.59099413133867</v>
      </c>
      <c r="L18" t="s">
        <v>27</v>
      </c>
      <c r="M18">
        <f t="shared" si="0"/>
        <v>1.6</v>
      </c>
      <c r="N18">
        <f t="shared" si="1"/>
        <v>0</v>
      </c>
      <c r="O18" t="str">
        <f t="shared" si="2"/>
        <v>1.6 C</v>
      </c>
      <c r="P18" t="s">
        <v>16</v>
      </c>
      <c r="Q18" t="s">
        <v>14</v>
      </c>
      <c r="R18" t="s">
        <v>23</v>
      </c>
      <c r="S18" t="s">
        <v>27</v>
      </c>
      <c r="AE18" t="s">
        <v>26</v>
      </c>
      <c r="AF18" t="s">
        <v>34</v>
      </c>
      <c r="AG18" t="s">
        <v>85</v>
      </c>
      <c r="AH18" t="s">
        <v>82</v>
      </c>
      <c r="AI18" t="s">
        <v>83</v>
      </c>
      <c r="AJ18" t="s">
        <v>83</v>
      </c>
      <c r="AK18" t="s">
        <v>83</v>
      </c>
      <c r="AL18" t="s">
        <v>172</v>
      </c>
      <c r="AM18" t="s">
        <v>83</v>
      </c>
      <c r="AN18" t="s">
        <v>83</v>
      </c>
      <c r="AO18" t="s">
        <v>83</v>
      </c>
      <c r="AP18" t="s">
        <v>83</v>
      </c>
      <c r="AQ18">
        <v>1</v>
      </c>
    </row>
    <row r="19" spans="1:43" x14ac:dyDescent="0.3">
      <c r="A19">
        <v>28</v>
      </c>
      <c r="B19" t="s">
        <v>23</v>
      </c>
      <c r="C19" t="s">
        <v>18</v>
      </c>
      <c r="D19">
        <v>1.99095881204351</v>
      </c>
      <c r="E19">
        <v>1.9842231563292699E-2</v>
      </c>
      <c r="F19">
        <v>3</v>
      </c>
      <c r="G19">
        <v>1.9288028794844401</v>
      </c>
      <c r="H19">
        <v>2.0551177279003299</v>
      </c>
      <c r="I19" t="s">
        <v>25</v>
      </c>
      <c r="J19" t="s">
        <v>14</v>
      </c>
      <c r="K19">
        <v>1.97111658048021</v>
      </c>
      <c r="L19" t="s">
        <v>27</v>
      </c>
      <c r="M19">
        <f t="shared" si="0"/>
        <v>2</v>
      </c>
      <c r="N19">
        <f t="shared" si="1"/>
        <v>0</v>
      </c>
      <c r="O19" t="str">
        <f t="shared" si="2"/>
        <v>2 A</v>
      </c>
      <c r="P19" t="s">
        <v>18</v>
      </c>
      <c r="Q19" t="s">
        <v>14</v>
      </c>
      <c r="R19" t="s">
        <v>23</v>
      </c>
      <c r="S19" t="s">
        <v>27</v>
      </c>
      <c r="AE19" t="s">
        <v>26</v>
      </c>
      <c r="AF19" t="s">
        <v>35</v>
      </c>
      <c r="AG19" t="s">
        <v>170</v>
      </c>
      <c r="AH19" t="s">
        <v>173</v>
      </c>
      <c r="AI19" t="s">
        <v>174</v>
      </c>
      <c r="AJ19" t="s">
        <v>175</v>
      </c>
      <c r="AK19" t="s">
        <v>176</v>
      </c>
      <c r="AL19" t="s">
        <v>177</v>
      </c>
      <c r="AM19" t="s">
        <v>178</v>
      </c>
      <c r="AN19" t="s">
        <v>179</v>
      </c>
      <c r="AO19" t="s">
        <v>180</v>
      </c>
      <c r="AP19" t="s">
        <v>181</v>
      </c>
      <c r="AQ19">
        <v>1</v>
      </c>
    </row>
    <row r="20" spans="1:43" x14ac:dyDescent="0.3">
      <c r="A20">
        <v>29</v>
      </c>
      <c r="B20" t="s">
        <v>23</v>
      </c>
      <c r="C20" t="s">
        <v>20</v>
      </c>
      <c r="D20">
        <v>1.77427606069868</v>
      </c>
      <c r="E20">
        <v>1.7682734690756999E-2</v>
      </c>
      <c r="F20">
        <v>3</v>
      </c>
      <c r="G20">
        <v>1.7188847675675401</v>
      </c>
      <c r="H20">
        <v>1.8314523457109799</v>
      </c>
      <c r="I20" t="s">
        <v>28</v>
      </c>
      <c r="J20" t="s">
        <v>14</v>
      </c>
      <c r="K20">
        <v>1.7565933260079301</v>
      </c>
      <c r="L20" t="s">
        <v>27</v>
      </c>
      <c r="M20">
        <f t="shared" si="0"/>
        <v>1.8</v>
      </c>
      <c r="N20">
        <f t="shared" si="1"/>
        <v>0</v>
      </c>
      <c r="O20" t="str">
        <f t="shared" si="2"/>
        <v>1.8 B</v>
      </c>
      <c r="P20" t="s">
        <v>20</v>
      </c>
      <c r="Q20" t="s">
        <v>14</v>
      </c>
      <c r="R20" t="s">
        <v>23</v>
      </c>
      <c r="S20" t="s">
        <v>27</v>
      </c>
      <c r="AE20" t="s">
        <v>26</v>
      </c>
      <c r="AF20" t="s">
        <v>40</v>
      </c>
      <c r="AG20" t="s">
        <v>182</v>
      </c>
      <c r="AH20" t="s">
        <v>183</v>
      </c>
      <c r="AI20" t="s">
        <v>184</v>
      </c>
      <c r="AJ20" t="s">
        <v>184</v>
      </c>
      <c r="AK20" t="s">
        <v>183</v>
      </c>
      <c r="AL20" t="s">
        <v>185</v>
      </c>
      <c r="AM20" t="s">
        <v>186</v>
      </c>
      <c r="AN20" t="s">
        <v>187</v>
      </c>
      <c r="AO20" t="s">
        <v>188</v>
      </c>
      <c r="AP20" t="s">
        <v>189</v>
      </c>
      <c r="AQ20">
        <v>1</v>
      </c>
    </row>
    <row r="21" spans="1:43" x14ac:dyDescent="0.3">
      <c r="A21">
        <v>30</v>
      </c>
      <c r="B21" t="s">
        <v>23</v>
      </c>
      <c r="C21" t="s">
        <v>21</v>
      </c>
      <c r="D21">
        <v>2.0007725668165199</v>
      </c>
      <c r="E21">
        <v>1.9940037099767698E-2</v>
      </c>
      <c r="F21">
        <v>3</v>
      </c>
      <c r="G21">
        <v>1.93831025771359</v>
      </c>
      <c r="H21">
        <v>2.0652477322426002</v>
      </c>
      <c r="I21" t="s">
        <v>25</v>
      </c>
      <c r="J21" t="s">
        <v>14</v>
      </c>
      <c r="K21">
        <v>1.9808325297167499</v>
      </c>
      <c r="L21" t="s">
        <v>27</v>
      </c>
      <c r="M21">
        <f t="shared" si="0"/>
        <v>2</v>
      </c>
      <c r="N21">
        <f t="shared" si="1"/>
        <v>0</v>
      </c>
      <c r="O21" t="str">
        <f t="shared" si="2"/>
        <v>2 A</v>
      </c>
      <c r="P21" t="s">
        <v>21</v>
      </c>
      <c r="Q21" t="s">
        <v>14</v>
      </c>
      <c r="R21" t="s">
        <v>23</v>
      </c>
      <c r="S21" t="s">
        <v>27</v>
      </c>
      <c r="AE21" t="s">
        <v>26</v>
      </c>
      <c r="AF21" t="s">
        <v>41</v>
      </c>
      <c r="AG21" t="s">
        <v>102</v>
      </c>
      <c r="AH21" t="s">
        <v>190</v>
      </c>
      <c r="AI21" t="s">
        <v>190</v>
      </c>
      <c r="AJ21" t="s">
        <v>190</v>
      </c>
      <c r="AK21" t="s">
        <v>190</v>
      </c>
      <c r="AL21" t="s">
        <v>102</v>
      </c>
      <c r="AM21" t="s">
        <v>190</v>
      </c>
      <c r="AN21" t="s">
        <v>103</v>
      </c>
      <c r="AO21" t="s">
        <v>103</v>
      </c>
      <c r="AP21" t="s">
        <v>103</v>
      </c>
      <c r="AQ21">
        <v>1</v>
      </c>
    </row>
    <row r="22" spans="1:43" x14ac:dyDescent="0.3">
      <c r="A22">
        <v>41</v>
      </c>
      <c r="B22" t="s">
        <v>11</v>
      </c>
      <c r="C22" t="s">
        <v>12</v>
      </c>
      <c r="D22">
        <v>9.8312499999999901</v>
      </c>
      <c r="E22">
        <v>4.8726642760560802E-2</v>
      </c>
      <c r="F22">
        <v>3</v>
      </c>
      <c r="G22">
        <v>9.6761800757777596</v>
      </c>
      <c r="H22">
        <v>9.9863199242222205</v>
      </c>
      <c r="I22" t="s">
        <v>28</v>
      </c>
      <c r="J22" t="s">
        <v>14</v>
      </c>
      <c r="K22">
        <v>9.7825233572394303</v>
      </c>
      <c r="L22" t="s">
        <v>29</v>
      </c>
      <c r="M22">
        <f t="shared" si="0"/>
        <v>9.8000000000000007</v>
      </c>
      <c r="N22">
        <f t="shared" si="1"/>
        <v>0</v>
      </c>
      <c r="O22" t="str">
        <f t="shared" si="2"/>
        <v>9.8 B</v>
      </c>
      <c r="P22" t="s">
        <v>12</v>
      </c>
      <c r="Q22" t="s">
        <v>14</v>
      </c>
      <c r="R22" t="s">
        <v>11</v>
      </c>
      <c r="S22" t="s">
        <v>29</v>
      </c>
      <c r="T22" t="str">
        <f>O22</f>
        <v>9.8 B</v>
      </c>
      <c r="U22" t="str">
        <f>O23</f>
        <v>9.5 C</v>
      </c>
      <c r="V22" t="str">
        <f>O24</f>
        <v>7.9 F</v>
      </c>
      <c r="W22" t="str">
        <f>O25</f>
        <v>8.6 D</v>
      </c>
      <c r="X22" t="str">
        <f>O26</f>
        <v>8.2 E</v>
      </c>
      <c r="Y22" t="str">
        <f>O27</f>
        <v>10.1 A</v>
      </c>
      <c r="Z22" t="str">
        <f>O28</f>
        <v>9.8 B</v>
      </c>
      <c r="AA22" t="str">
        <f>O29</f>
        <v>8.1 EF</v>
      </c>
      <c r="AB22" t="str">
        <f>O30</f>
        <v>8.8 D</v>
      </c>
      <c r="AC22" t="str">
        <f>O31</f>
        <v>8.3 E</v>
      </c>
      <c r="AD22">
        <v>1</v>
      </c>
      <c r="AE22" t="s">
        <v>26</v>
      </c>
      <c r="AF22" t="s">
        <v>42</v>
      </c>
      <c r="AG22" t="s">
        <v>191</v>
      </c>
      <c r="AH22" t="s">
        <v>192</v>
      </c>
      <c r="AI22" t="s">
        <v>191</v>
      </c>
      <c r="AJ22" t="s">
        <v>193</v>
      </c>
      <c r="AK22" t="s">
        <v>194</v>
      </c>
      <c r="AL22" t="s">
        <v>195</v>
      </c>
      <c r="AM22" t="s">
        <v>196</v>
      </c>
      <c r="AN22" t="s">
        <v>196</v>
      </c>
      <c r="AO22" t="s">
        <v>197</v>
      </c>
      <c r="AP22" t="s">
        <v>105</v>
      </c>
      <c r="AQ22">
        <v>1</v>
      </c>
    </row>
    <row r="23" spans="1:43" x14ac:dyDescent="0.3">
      <c r="A23">
        <v>42</v>
      </c>
      <c r="B23" t="s">
        <v>11</v>
      </c>
      <c r="C23" t="s">
        <v>16</v>
      </c>
      <c r="D23">
        <v>9.4899999999999896</v>
      </c>
      <c r="E23">
        <v>4.87266427605609E-2</v>
      </c>
      <c r="F23">
        <v>3</v>
      </c>
      <c r="G23">
        <v>9.3349300757777591</v>
      </c>
      <c r="H23">
        <v>9.64506992422222</v>
      </c>
      <c r="I23" t="s">
        <v>17</v>
      </c>
      <c r="J23" t="s">
        <v>14</v>
      </c>
      <c r="K23">
        <v>9.4412733572394298</v>
      </c>
      <c r="L23" t="s">
        <v>29</v>
      </c>
      <c r="M23">
        <f t="shared" si="0"/>
        <v>9.5</v>
      </c>
      <c r="N23">
        <f t="shared" si="1"/>
        <v>0</v>
      </c>
      <c r="O23" t="str">
        <f t="shared" si="2"/>
        <v>9.5 C</v>
      </c>
      <c r="P23" t="s">
        <v>16</v>
      </c>
      <c r="Q23" t="s">
        <v>14</v>
      </c>
      <c r="R23" t="s">
        <v>11</v>
      </c>
      <c r="S23" t="s">
        <v>29</v>
      </c>
      <c r="AE23" t="s">
        <v>26</v>
      </c>
      <c r="AF23" t="s">
        <v>43</v>
      </c>
      <c r="AG23" t="s">
        <v>198</v>
      </c>
      <c r="AH23" t="s">
        <v>199</v>
      </c>
      <c r="AI23" t="s">
        <v>200</v>
      </c>
      <c r="AJ23" t="s">
        <v>201</v>
      </c>
      <c r="AK23" t="s">
        <v>202</v>
      </c>
      <c r="AL23" t="s">
        <v>203</v>
      </c>
      <c r="AM23" t="s">
        <v>204</v>
      </c>
      <c r="AN23" t="s">
        <v>205</v>
      </c>
      <c r="AO23" t="s">
        <v>206</v>
      </c>
      <c r="AP23" t="s">
        <v>207</v>
      </c>
      <c r="AQ23">
        <v>1</v>
      </c>
    </row>
    <row r="24" spans="1:43" x14ac:dyDescent="0.3">
      <c r="A24">
        <v>43</v>
      </c>
      <c r="B24" t="s">
        <v>11</v>
      </c>
      <c r="C24" t="s">
        <v>18</v>
      </c>
      <c r="D24">
        <v>7.8574999999999804</v>
      </c>
      <c r="E24">
        <v>4.87266427605609E-2</v>
      </c>
      <c r="F24">
        <v>3</v>
      </c>
      <c r="G24">
        <v>7.70243007577775</v>
      </c>
      <c r="H24">
        <v>8.0125699242222002</v>
      </c>
      <c r="I24" t="s">
        <v>30</v>
      </c>
      <c r="J24" t="s">
        <v>14</v>
      </c>
      <c r="K24">
        <v>7.8087733572394198</v>
      </c>
      <c r="L24" t="s">
        <v>29</v>
      </c>
      <c r="M24">
        <f t="shared" si="0"/>
        <v>7.9</v>
      </c>
      <c r="N24">
        <f t="shared" si="1"/>
        <v>0</v>
      </c>
      <c r="O24" t="str">
        <f t="shared" si="2"/>
        <v>7.9 F</v>
      </c>
      <c r="P24" t="s">
        <v>18</v>
      </c>
      <c r="Q24" t="s">
        <v>14</v>
      </c>
      <c r="R24" t="s">
        <v>11</v>
      </c>
      <c r="S24" t="s">
        <v>29</v>
      </c>
      <c r="AE24" t="s">
        <v>26</v>
      </c>
      <c r="AF24" t="s">
        <v>44</v>
      </c>
      <c r="AG24" t="s">
        <v>208</v>
      </c>
      <c r="AH24" t="s">
        <v>209</v>
      </c>
      <c r="AI24" t="s">
        <v>210</v>
      </c>
      <c r="AJ24" t="s">
        <v>211</v>
      </c>
      <c r="AK24" t="s">
        <v>212</v>
      </c>
      <c r="AL24" t="s">
        <v>213</v>
      </c>
      <c r="AM24" t="s">
        <v>214</v>
      </c>
      <c r="AN24" t="s">
        <v>215</v>
      </c>
      <c r="AO24" t="s">
        <v>216</v>
      </c>
      <c r="AP24" t="s">
        <v>217</v>
      </c>
      <c r="AQ24">
        <v>1</v>
      </c>
    </row>
    <row r="25" spans="1:43" x14ac:dyDescent="0.3">
      <c r="A25">
        <v>44</v>
      </c>
      <c r="B25" t="s">
        <v>11</v>
      </c>
      <c r="C25" t="s">
        <v>20</v>
      </c>
      <c r="D25">
        <v>8.6099999999999905</v>
      </c>
      <c r="E25">
        <v>4.87266427605609E-2</v>
      </c>
      <c r="F25">
        <v>3</v>
      </c>
      <c r="G25">
        <v>8.4549300757777601</v>
      </c>
      <c r="H25">
        <v>8.7650699242222192</v>
      </c>
      <c r="I25" t="s">
        <v>13</v>
      </c>
      <c r="J25" t="s">
        <v>14</v>
      </c>
      <c r="K25">
        <v>8.5612733572394308</v>
      </c>
      <c r="L25" t="s">
        <v>29</v>
      </c>
      <c r="M25">
        <f t="shared" si="0"/>
        <v>8.6</v>
      </c>
      <c r="N25">
        <f t="shared" si="1"/>
        <v>0</v>
      </c>
      <c r="O25" t="str">
        <f t="shared" si="2"/>
        <v>8.6 D</v>
      </c>
      <c r="P25" t="s">
        <v>20</v>
      </c>
      <c r="Q25" t="s">
        <v>14</v>
      </c>
      <c r="R25" t="s">
        <v>11</v>
      </c>
      <c r="S25" t="s">
        <v>29</v>
      </c>
      <c r="AE25" t="s">
        <v>26</v>
      </c>
      <c r="AF25" t="s">
        <v>45</v>
      </c>
      <c r="AG25" t="s">
        <v>218</v>
      </c>
      <c r="AH25" t="s">
        <v>219</v>
      </c>
      <c r="AI25" t="s">
        <v>220</v>
      </c>
      <c r="AJ25" t="s">
        <v>221</v>
      </c>
      <c r="AK25" t="s">
        <v>222</v>
      </c>
      <c r="AL25" t="s">
        <v>223</v>
      </c>
      <c r="AM25" t="s">
        <v>224</v>
      </c>
      <c r="AN25" t="s">
        <v>225</v>
      </c>
      <c r="AO25" t="s">
        <v>226</v>
      </c>
      <c r="AP25" t="s">
        <v>227</v>
      </c>
      <c r="AQ25">
        <v>1</v>
      </c>
    </row>
    <row r="26" spans="1:43" x14ac:dyDescent="0.3">
      <c r="A26">
        <v>45</v>
      </c>
      <c r="B26" t="s">
        <v>11</v>
      </c>
      <c r="C26" t="s">
        <v>21</v>
      </c>
      <c r="D26">
        <v>8.1737499999999894</v>
      </c>
      <c r="E26">
        <v>4.8726642760560802E-2</v>
      </c>
      <c r="F26">
        <v>3</v>
      </c>
      <c r="G26">
        <v>8.0186800757777696</v>
      </c>
      <c r="H26">
        <v>8.3288199242222198</v>
      </c>
      <c r="I26" t="s">
        <v>31</v>
      </c>
      <c r="J26" t="s">
        <v>14</v>
      </c>
      <c r="K26">
        <v>8.1250233572394297</v>
      </c>
      <c r="L26" t="s">
        <v>29</v>
      </c>
      <c r="M26">
        <f t="shared" si="0"/>
        <v>8.1999999999999993</v>
      </c>
      <c r="N26">
        <f t="shared" si="1"/>
        <v>0</v>
      </c>
      <c r="O26" t="str">
        <f t="shared" si="2"/>
        <v>8.2 E</v>
      </c>
      <c r="P26" t="s">
        <v>21</v>
      </c>
      <c r="Q26" t="s">
        <v>14</v>
      </c>
      <c r="R26" t="s">
        <v>11</v>
      </c>
      <c r="S26" t="s">
        <v>29</v>
      </c>
      <c r="AE26" t="s">
        <v>14</v>
      </c>
      <c r="AF26" t="s">
        <v>15</v>
      </c>
    </row>
    <row r="27" spans="1:43" x14ac:dyDescent="0.3">
      <c r="A27">
        <v>46</v>
      </c>
      <c r="B27" t="s">
        <v>23</v>
      </c>
      <c r="C27" t="s">
        <v>12</v>
      </c>
      <c r="D27">
        <v>10.0725</v>
      </c>
      <c r="E27">
        <v>4.87266427605609E-2</v>
      </c>
      <c r="F27">
        <v>3</v>
      </c>
      <c r="G27">
        <v>9.9174300757777605</v>
      </c>
      <c r="H27">
        <v>10.2275699242222</v>
      </c>
      <c r="I27" t="s">
        <v>25</v>
      </c>
      <c r="J27" t="s">
        <v>14</v>
      </c>
      <c r="K27">
        <v>10.023773357239399</v>
      </c>
      <c r="L27" t="s">
        <v>29</v>
      </c>
      <c r="M27">
        <f t="shared" si="0"/>
        <v>10.1</v>
      </c>
      <c r="N27">
        <f t="shared" si="1"/>
        <v>0</v>
      </c>
      <c r="O27" t="str">
        <f t="shared" si="2"/>
        <v>10.1 A</v>
      </c>
      <c r="P27" t="s">
        <v>12</v>
      </c>
      <c r="Q27" t="s">
        <v>14</v>
      </c>
      <c r="R27" t="s">
        <v>23</v>
      </c>
      <c r="S27" t="s">
        <v>29</v>
      </c>
      <c r="AE27" t="s">
        <v>14</v>
      </c>
      <c r="AF27" t="s">
        <v>15</v>
      </c>
    </row>
    <row r="28" spans="1:43" x14ac:dyDescent="0.3">
      <c r="A28">
        <v>47</v>
      </c>
      <c r="B28" t="s">
        <v>23</v>
      </c>
      <c r="C28" t="s">
        <v>16</v>
      </c>
      <c r="D28">
        <v>9.7899999999999903</v>
      </c>
      <c r="E28">
        <v>4.87266427605609E-2</v>
      </c>
      <c r="F28">
        <v>3</v>
      </c>
      <c r="G28">
        <v>9.6349300757777705</v>
      </c>
      <c r="H28">
        <v>9.9450699242222207</v>
      </c>
      <c r="I28" t="s">
        <v>28</v>
      </c>
      <c r="J28" t="s">
        <v>14</v>
      </c>
      <c r="K28">
        <v>9.7412733572394306</v>
      </c>
      <c r="L28" t="s">
        <v>29</v>
      </c>
      <c r="M28">
        <f t="shared" si="0"/>
        <v>9.8000000000000007</v>
      </c>
      <c r="N28">
        <f t="shared" si="1"/>
        <v>0</v>
      </c>
      <c r="O28" t="str">
        <f t="shared" si="2"/>
        <v>9.8 B</v>
      </c>
      <c r="P28" t="s">
        <v>16</v>
      </c>
      <c r="Q28" t="s">
        <v>14</v>
      </c>
      <c r="R28" t="s">
        <v>23</v>
      </c>
      <c r="S28" t="s">
        <v>29</v>
      </c>
      <c r="AE28" t="s">
        <v>14</v>
      </c>
      <c r="AF28" t="s">
        <v>15</v>
      </c>
    </row>
    <row r="29" spans="1:43" x14ac:dyDescent="0.3">
      <c r="A29">
        <v>48</v>
      </c>
      <c r="B29" t="s">
        <v>23</v>
      </c>
      <c r="C29" t="s">
        <v>18</v>
      </c>
      <c r="D29">
        <v>8.0524999999999896</v>
      </c>
      <c r="E29">
        <v>4.87266427605609E-2</v>
      </c>
      <c r="F29">
        <v>3</v>
      </c>
      <c r="G29">
        <v>7.8974300757777698</v>
      </c>
      <c r="H29">
        <v>8.20756992422222</v>
      </c>
      <c r="I29" t="s">
        <v>32</v>
      </c>
      <c r="J29" t="s">
        <v>14</v>
      </c>
      <c r="K29">
        <v>8.0037733572394298</v>
      </c>
      <c r="L29" t="s">
        <v>29</v>
      </c>
      <c r="M29">
        <f t="shared" si="0"/>
        <v>8.1</v>
      </c>
      <c r="N29">
        <f t="shared" si="1"/>
        <v>0</v>
      </c>
      <c r="O29" t="str">
        <f t="shared" si="2"/>
        <v>8.1 EF</v>
      </c>
      <c r="P29" t="s">
        <v>18</v>
      </c>
      <c r="Q29" t="s">
        <v>14</v>
      </c>
      <c r="R29" t="s">
        <v>23</v>
      </c>
      <c r="S29" t="s">
        <v>29</v>
      </c>
      <c r="AE29" t="s">
        <v>14</v>
      </c>
      <c r="AF29" t="s">
        <v>15</v>
      </c>
    </row>
    <row r="30" spans="1:43" x14ac:dyDescent="0.3">
      <c r="A30">
        <v>49</v>
      </c>
      <c r="B30" t="s">
        <v>23</v>
      </c>
      <c r="C30" t="s">
        <v>20</v>
      </c>
      <c r="D30">
        <v>8.8162499999999895</v>
      </c>
      <c r="E30">
        <v>4.8726642760560802E-2</v>
      </c>
      <c r="F30">
        <v>3</v>
      </c>
      <c r="G30">
        <v>8.6611800757777608</v>
      </c>
      <c r="H30">
        <v>8.9713199242222199</v>
      </c>
      <c r="I30" t="s">
        <v>13</v>
      </c>
      <c r="J30" t="s">
        <v>14</v>
      </c>
      <c r="K30">
        <v>8.7675233572394298</v>
      </c>
      <c r="L30" t="s">
        <v>29</v>
      </c>
      <c r="M30">
        <f t="shared" si="0"/>
        <v>8.8000000000000007</v>
      </c>
      <c r="N30">
        <f t="shared" si="1"/>
        <v>0</v>
      </c>
      <c r="O30" t="str">
        <f t="shared" si="2"/>
        <v>8.8 D</v>
      </c>
      <c r="P30" t="s">
        <v>20</v>
      </c>
      <c r="Q30" t="s">
        <v>14</v>
      </c>
      <c r="R30" t="s">
        <v>23</v>
      </c>
      <c r="S30" t="s">
        <v>29</v>
      </c>
      <c r="AE30" t="s">
        <v>14</v>
      </c>
      <c r="AF30" t="s">
        <v>15</v>
      </c>
    </row>
    <row r="31" spans="1:43" x14ac:dyDescent="0.3">
      <c r="A31">
        <v>50</v>
      </c>
      <c r="B31" t="s">
        <v>23</v>
      </c>
      <c r="C31" t="s">
        <v>21</v>
      </c>
      <c r="D31">
        <v>8.2587499999999903</v>
      </c>
      <c r="E31">
        <v>4.87266427605609E-2</v>
      </c>
      <c r="F31">
        <v>3</v>
      </c>
      <c r="G31">
        <v>8.1036800757777705</v>
      </c>
      <c r="H31">
        <v>8.4138199242222207</v>
      </c>
      <c r="I31" t="s">
        <v>31</v>
      </c>
      <c r="J31" t="s">
        <v>14</v>
      </c>
      <c r="K31">
        <v>8.2100233572394306</v>
      </c>
      <c r="L31" t="s">
        <v>29</v>
      </c>
      <c r="M31">
        <f t="shared" si="0"/>
        <v>8.3000000000000007</v>
      </c>
      <c r="N31">
        <f t="shared" si="1"/>
        <v>0</v>
      </c>
      <c r="O31" t="str">
        <f t="shared" si="2"/>
        <v>8.3 E</v>
      </c>
      <c r="P31" t="s">
        <v>21</v>
      </c>
      <c r="Q31" t="s">
        <v>14</v>
      </c>
      <c r="R31" t="s">
        <v>23</v>
      </c>
      <c r="S31" t="s">
        <v>29</v>
      </c>
      <c r="AE31" t="s">
        <v>14</v>
      </c>
      <c r="AF31" t="s">
        <v>15</v>
      </c>
    </row>
    <row r="32" spans="1:43" x14ac:dyDescent="0.3">
      <c r="A32">
        <v>61</v>
      </c>
      <c r="B32" t="s">
        <v>11</v>
      </c>
      <c r="C32" t="s">
        <v>12</v>
      </c>
      <c r="D32">
        <v>7.9524196717499898</v>
      </c>
      <c r="E32">
        <v>0.28521080673246801</v>
      </c>
      <c r="F32">
        <v>3</v>
      </c>
      <c r="G32">
        <v>7.04475159363726</v>
      </c>
      <c r="H32">
        <v>8.8600877498627195</v>
      </c>
      <c r="I32" t="s">
        <v>19</v>
      </c>
      <c r="J32" t="s">
        <v>14</v>
      </c>
      <c r="K32">
        <v>7.6672088650175203</v>
      </c>
      <c r="L32" t="s">
        <v>33</v>
      </c>
      <c r="M32">
        <f t="shared" si="0"/>
        <v>8</v>
      </c>
      <c r="N32">
        <f t="shared" si="1"/>
        <v>0.3</v>
      </c>
      <c r="O32" t="str">
        <f t="shared" si="2"/>
        <v>8 BC</v>
      </c>
      <c r="P32" t="s">
        <v>12</v>
      </c>
      <c r="Q32" t="s">
        <v>14</v>
      </c>
      <c r="R32" t="s">
        <v>11</v>
      </c>
      <c r="S32" t="s">
        <v>33</v>
      </c>
      <c r="T32" t="str">
        <f>O32</f>
        <v>8 BC</v>
      </c>
      <c r="U32" t="str">
        <f>O33</f>
        <v>8.8 ABC</v>
      </c>
      <c r="V32" t="str">
        <f>O34</f>
        <v>9 AB</v>
      </c>
      <c r="W32" t="str">
        <f>O35</f>
        <v>9 AB</v>
      </c>
      <c r="X32" t="str">
        <f>O36</f>
        <v>9.1 AB</v>
      </c>
      <c r="Y32" t="str">
        <f>O37</f>
        <v>7.6 C</v>
      </c>
      <c r="Z32" t="str">
        <f>O38</f>
        <v>8.7 ABC</v>
      </c>
      <c r="AA32" t="str">
        <f>O39</f>
        <v>9.3 A</v>
      </c>
      <c r="AB32" t="str">
        <f>O40</f>
        <v>9.1 AB</v>
      </c>
      <c r="AC32" t="str">
        <f>O41</f>
        <v>9.2 AB</v>
      </c>
      <c r="AD32">
        <v>1</v>
      </c>
      <c r="AE32" t="s">
        <v>14</v>
      </c>
      <c r="AF32" t="s">
        <v>15</v>
      </c>
    </row>
    <row r="33" spans="1:32" x14ac:dyDescent="0.3">
      <c r="A33">
        <v>62</v>
      </c>
      <c r="B33" t="s">
        <v>11</v>
      </c>
      <c r="C33" t="s">
        <v>16</v>
      </c>
      <c r="D33">
        <v>8.81310647574999</v>
      </c>
      <c r="E33">
        <v>0.28521080673246801</v>
      </c>
      <c r="F33">
        <v>3</v>
      </c>
      <c r="G33">
        <v>7.9054383976372602</v>
      </c>
      <c r="H33">
        <v>9.7207745538627197</v>
      </c>
      <c r="I33" t="s">
        <v>22</v>
      </c>
      <c r="J33" t="s">
        <v>14</v>
      </c>
      <c r="K33">
        <v>8.5278956690175196</v>
      </c>
      <c r="L33" t="s">
        <v>33</v>
      </c>
      <c r="M33">
        <f t="shared" si="0"/>
        <v>8.8000000000000007</v>
      </c>
      <c r="N33">
        <f t="shared" si="1"/>
        <v>0.3</v>
      </c>
      <c r="O33" t="str">
        <f t="shared" si="2"/>
        <v>8.8 ABC</v>
      </c>
      <c r="P33" t="s">
        <v>16</v>
      </c>
      <c r="Q33" t="s">
        <v>14</v>
      </c>
      <c r="R33" t="s">
        <v>11</v>
      </c>
      <c r="S33" t="s">
        <v>33</v>
      </c>
      <c r="AE33" t="s">
        <v>14</v>
      </c>
      <c r="AF33" t="s">
        <v>15</v>
      </c>
    </row>
    <row r="34" spans="1:32" x14ac:dyDescent="0.3">
      <c r="A34">
        <v>63</v>
      </c>
      <c r="B34" t="s">
        <v>11</v>
      </c>
      <c r="C34" t="s">
        <v>18</v>
      </c>
      <c r="D34">
        <v>9.0340278851249796</v>
      </c>
      <c r="E34">
        <v>0.28521080673246901</v>
      </c>
      <c r="F34">
        <v>3</v>
      </c>
      <c r="G34">
        <v>8.1263598070122498</v>
      </c>
      <c r="H34">
        <v>9.9416959632377093</v>
      </c>
      <c r="I34" t="s">
        <v>24</v>
      </c>
      <c r="J34" t="s">
        <v>14</v>
      </c>
      <c r="K34">
        <v>8.7488170783925092</v>
      </c>
      <c r="L34" t="s">
        <v>33</v>
      </c>
      <c r="M34">
        <f t="shared" si="0"/>
        <v>9</v>
      </c>
      <c r="N34">
        <f t="shared" si="1"/>
        <v>0.3</v>
      </c>
      <c r="O34" t="str">
        <f t="shared" si="2"/>
        <v>9 AB</v>
      </c>
      <c r="P34" t="s">
        <v>18</v>
      </c>
      <c r="Q34" t="s">
        <v>14</v>
      </c>
      <c r="R34" t="s">
        <v>11</v>
      </c>
      <c r="S34" t="s">
        <v>33</v>
      </c>
      <c r="AE34" t="s">
        <v>14</v>
      </c>
      <c r="AF34" t="s">
        <v>15</v>
      </c>
    </row>
    <row r="35" spans="1:32" x14ac:dyDescent="0.3">
      <c r="A35">
        <v>64</v>
      </c>
      <c r="B35" t="s">
        <v>11</v>
      </c>
      <c r="C35" t="s">
        <v>20</v>
      </c>
      <c r="D35">
        <v>8.9954916153749895</v>
      </c>
      <c r="E35">
        <v>0.28521080673246901</v>
      </c>
      <c r="F35">
        <v>3</v>
      </c>
      <c r="G35">
        <v>8.0878235372622598</v>
      </c>
      <c r="H35">
        <v>9.9031596934877193</v>
      </c>
      <c r="I35" t="s">
        <v>24</v>
      </c>
      <c r="J35" t="s">
        <v>14</v>
      </c>
      <c r="K35">
        <v>8.7102808086425192</v>
      </c>
      <c r="L35" t="s">
        <v>33</v>
      </c>
      <c r="M35">
        <f t="shared" si="0"/>
        <v>9</v>
      </c>
      <c r="N35">
        <f t="shared" si="1"/>
        <v>0.3</v>
      </c>
      <c r="O35" t="str">
        <f t="shared" si="2"/>
        <v>9 AB</v>
      </c>
      <c r="P35" t="s">
        <v>20</v>
      </c>
      <c r="Q35" t="s">
        <v>14</v>
      </c>
      <c r="R35" t="s">
        <v>11</v>
      </c>
      <c r="S35" t="s">
        <v>33</v>
      </c>
      <c r="AE35" t="s">
        <v>14</v>
      </c>
      <c r="AF35" t="s">
        <v>27</v>
      </c>
    </row>
    <row r="36" spans="1:32" x14ac:dyDescent="0.3">
      <c r="A36">
        <v>65</v>
      </c>
      <c r="B36" t="s">
        <v>11</v>
      </c>
      <c r="C36" t="s">
        <v>21</v>
      </c>
      <c r="D36">
        <v>9.0818321946249903</v>
      </c>
      <c r="E36">
        <v>0.28521080673246801</v>
      </c>
      <c r="F36">
        <v>3</v>
      </c>
      <c r="G36">
        <v>8.1741641165122605</v>
      </c>
      <c r="H36">
        <v>9.98950027273772</v>
      </c>
      <c r="I36" t="s">
        <v>24</v>
      </c>
      <c r="J36" t="s">
        <v>14</v>
      </c>
      <c r="K36">
        <v>8.7966213878925306</v>
      </c>
      <c r="L36" t="s">
        <v>33</v>
      </c>
      <c r="M36">
        <f t="shared" si="0"/>
        <v>9.1</v>
      </c>
      <c r="N36">
        <f t="shared" si="1"/>
        <v>0.3</v>
      </c>
      <c r="O36" t="str">
        <f t="shared" si="2"/>
        <v>9.1 AB</v>
      </c>
      <c r="P36" t="s">
        <v>21</v>
      </c>
      <c r="Q36" t="s">
        <v>14</v>
      </c>
      <c r="R36" t="s">
        <v>11</v>
      </c>
      <c r="S36" t="s">
        <v>33</v>
      </c>
      <c r="AE36" t="s">
        <v>14</v>
      </c>
      <c r="AF36" t="s">
        <v>27</v>
      </c>
    </row>
    <row r="37" spans="1:32" x14ac:dyDescent="0.3">
      <c r="A37">
        <v>66</v>
      </c>
      <c r="B37" t="s">
        <v>23</v>
      </c>
      <c r="C37" t="s">
        <v>12</v>
      </c>
      <c r="D37">
        <v>7.5648652499999898</v>
      </c>
      <c r="E37">
        <v>0.28521080673246801</v>
      </c>
      <c r="F37">
        <v>3</v>
      </c>
      <c r="G37">
        <v>6.65719717188726</v>
      </c>
      <c r="H37">
        <v>8.4725333281127195</v>
      </c>
      <c r="I37" t="s">
        <v>17</v>
      </c>
      <c r="J37" t="s">
        <v>14</v>
      </c>
      <c r="K37">
        <v>7.2796544432675203</v>
      </c>
      <c r="L37" t="s">
        <v>33</v>
      </c>
      <c r="M37">
        <f t="shared" si="0"/>
        <v>7.6</v>
      </c>
      <c r="N37">
        <f t="shared" si="1"/>
        <v>0.3</v>
      </c>
      <c r="O37" t="str">
        <f t="shared" si="2"/>
        <v>7.6 C</v>
      </c>
      <c r="P37" t="s">
        <v>12</v>
      </c>
      <c r="Q37" t="s">
        <v>14</v>
      </c>
      <c r="R37" t="s">
        <v>23</v>
      </c>
      <c r="S37" t="s">
        <v>33</v>
      </c>
      <c r="AE37" t="s">
        <v>14</v>
      </c>
      <c r="AF37" t="s">
        <v>27</v>
      </c>
    </row>
    <row r="38" spans="1:32" x14ac:dyDescent="0.3">
      <c r="A38">
        <v>67</v>
      </c>
      <c r="B38" t="s">
        <v>23</v>
      </c>
      <c r="C38" t="s">
        <v>16</v>
      </c>
      <c r="D38">
        <v>8.7101934821249891</v>
      </c>
      <c r="E38">
        <v>0.28521080673246801</v>
      </c>
      <c r="F38">
        <v>3</v>
      </c>
      <c r="G38">
        <v>7.8025254040122602</v>
      </c>
      <c r="H38">
        <v>9.6178615602377207</v>
      </c>
      <c r="I38" t="s">
        <v>22</v>
      </c>
      <c r="J38" t="s">
        <v>14</v>
      </c>
      <c r="K38">
        <v>8.4249826753925205</v>
      </c>
      <c r="L38" t="s">
        <v>33</v>
      </c>
      <c r="M38">
        <f t="shared" si="0"/>
        <v>8.6999999999999993</v>
      </c>
      <c r="N38">
        <f t="shared" si="1"/>
        <v>0.3</v>
      </c>
      <c r="O38" t="str">
        <f t="shared" si="2"/>
        <v>8.7 ABC</v>
      </c>
      <c r="P38" t="s">
        <v>16</v>
      </c>
      <c r="Q38" t="s">
        <v>14</v>
      </c>
      <c r="R38" t="s">
        <v>23</v>
      </c>
      <c r="S38" t="s">
        <v>33</v>
      </c>
      <c r="AE38" t="s">
        <v>14</v>
      </c>
      <c r="AF38" t="s">
        <v>27</v>
      </c>
    </row>
    <row r="39" spans="1:32" x14ac:dyDescent="0.3">
      <c r="A39">
        <v>68</v>
      </c>
      <c r="B39" t="s">
        <v>23</v>
      </c>
      <c r="C39" t="s">
        <v>18</v>
      </c>
      <c r="D39">
        <v>9.2761155399999904</v>
      </c>
      <c r="E39">
        <v>0.28521080673246801</v>
      </c>
      <c r="F39">
        <v>3</v>
      </c>
      <c r="G39">
        <v>8.3684474618872606</v>
      </c>
      <c r="H39">
        <v>10.183783618112701</v>
      </c>
      <c r="I39" t="s">
        <v>25</v>
      </c>
      <c r="J39" t="s">
        <v>14</v>
      </c>
      <c r="K39">
        <v>8.99090473326752</v>
      </c>
      <c r="L39" t="s">
        <v>33</v>
      </c>
      <c r="M39">
        <f t="shared" si="0"/>
        <v>9.3000000000000007</v>
      </c>
      <c r="N39">
        <f t="shared" si="1"/>
        <v>0.3</v>
      </c>
      <c r="O39" t="str">
        <f t="shared" si="2"/>
        <v>9.3 A</v>
      </c>
      <c r="P39" t="s">
        <v>18</v>
      </c>
      <c r="Q39" t="s">
        <v>14</v>
      </c>
      <c r="R39" t="s">
        <v>23</v>
      </c>
      <c r="S39" t="s">
        <v>33</v>
      </c>
      <c r="AE39" t="s">
        <v>14</v>
      </c>
      <c r="AF39" t="s">
        <v>27</v>
      </c>
    </row>
    <row r="40" spans="1:32" x14ac:dyDescent="0.3">
      <c r="A40">
        <v>69</v>
      </c>
      <c r="B40" t="s">
        <v>23</v>
      </c>
      <c r="C40" t="s">
        <v>20</v>
      </c>
      <c r="D40">
        <v>9.0775145971249902</v>
      </c>
      <c r="E40">
        <v>0.28521080673246801</v>
      </c>
      <c r="F40">
        <v>3</v>
      </c>
      <c r="G40">
        <v>8.1698465190122604</v>
      </c>
      <c r="H40">
        <v>9.98518267523772</v>
      </c>
      <c r="I40" t="s">
        <v>24</v>
      </c>
      <c r="J40" t="s">
        <v>14</v>
      </c>
      <c r="K40">
        <v>8.7923037903925305</v>
      </c>
      <c r="L40" t="s">
        <v>33</v>
      </c>
      <c r="M40">
        <f t="shared" si="0"/>
        <v>9.1</v>
      </c>
      <c r="N40">
        <f t="shared" si="1"/>
        <v>0.3</v>
      </c>
      <c r="O40" t="str">
        <f t="shared" si="2"/>
        <v>9.1 AB</v>
      </c>
      <c r="P40" t="s">
        <v>20</v>
      </c>
      <c r="Q40" t="s">
        <v>14</v>
      </c>
      <c r="R40" t="s">
        <v>23</v>
      </c>
      <c r="S40" t="s">
        <v>33</v>
      </c>
      <c r="AE40" t="s">
        <v>14</v>
      </c>
      <c r="AF40" t="s">
        <v>27</v>
      </c>
    </row>
    <row r="41" spans="1:32" x14ac:dyDescent="0.3">
      <c r="A41">
        <v>70</v>
      </c>
      <c r="B41" t="s">
        <v>23</v>
      </c>
      <c r="C41" t="s">
        <v>21</v>
      </c>
      <c r="D41">
        <v>9.2241889911249899</v>
      </c>
      <c r="E41">
        <v>0.28521080673246901</v>
      </c>
      <c r="F41">
        <v>3</v>
      </c>
      <c r="G41">
        <v>8.3165209130122602</v>
      </c>
      <c r="H41">
        <v>10.1318570692377</v>
      </c>
      <c r="I41" t="s">
        <v>24</v>
      </c>
      <c r="J41" t="s">
        <v>14</v>
      </c>
      <c r="K41">
        <v>8.9389781843925196</v>
      </c>
      <c r="L41" t="s">
        <v>33</v>
      </c>
      <c r="M41">
        <f t="shared" si="0"/>
        <v>9.1999999999999993</v>
      </c>
      <c r="N41">
        <f t="shared" si="1"/>
        <v>0.3</v>
      </c>
      <c r="O41" t="str">
        <f t="shared" si="2"/>
        <v>9.2 AB</v>
      </c>
      <c r="P41" t="s">
        <v>21</v>
      </c>
      <c r="Q41" t="s">
        <v>14</v>
      </c>
      <c r="R41" t="s">
        <v>23</v>
      </c>
      <c r="S41" t="s">
        <v>33</v>
      </c>
      <c r="AE41" t="s">
        <v>14</v>
      </c>
      <c r="AF41" t="s">
        <v>27</v>
      </c>
    </row>
    <row r="42" spans="1:32" x14ac:dyDescent="0.3">
      <c r="A42">
        <v>81</v>
      </c>
      <c r="B42" t="s">
        <v>11</v>
      </c>
      <c r="C42" t="s">
        <v>12</v>
      </c>
      <c r="D42">
        <v>0.87201664661073197</v>
      </c>
      <c r="E42">
        <v>3.5007116516032701E-2</v>
      </c>
      <c r="F42">
        <v>3</v>
      </c>
      <c r="G42">
        <v>0.76743146333436896</v>
      </c>
      <c r="H42">
        <v>0.99085464734838002</v>
      </c>
      <c r="I42" t="s">
        <v>19</v>
      </c>
      <c r="J42" t="s">
        <v>14</v>
      </c>
      <c r="K42">
        <v>0.83700953009470003</v>
      </c>
      <c r="L42" t="s">
        <v>34</v>
      </c>
      <c r="M42">
        <f t="shared" si="0"/>
        <v>0.9</v>
      </c>
      <c r="N42">
        <f t="shared" si="1"/>
        <v>0</v>
      </c>
      <c r="O42" t="str">
        <f t="shared" si="2"/>
        <v>0.9 BC</v>
      </c>
      <c r="P42" t="s">
        <v>12</v>
      </c>
      <c r="Q42" t="s">
        <v>14</v>
      </c>
      <c r="R42" t="s">
        <v>11</v>
      </c>
      <c r="S42" t="s">
        <v>34</v>
      </c>
      <c r="T42" t="str">
        <f>O42</f>
        <v>0.9 BC</v>
      </c>
      <c r="U42" t="str">
        <f>O43</f>
        <v>1 AB</v>
      </c>
      <c r="V42" t="str">
        <f>O44</f>
        <v>1.1 A</v>
      </c>
      <c r="W42" t="str">
        <f>O45</f>
        <v>1.1 A</v>
      </c>
      <c r="X42" t="str">
        <f>O46</f>
        <v>1.2 A</v>
      </c>
      <c r="Y42" t="str">
        <f>O47</f>
        <v>0.8 C</v>
      </c>
      <c r="Z42" t="str">
        <f>O48</f>
        <v>1 AB</v>
      </c>
      <c r="AA42" t="str">
        <f>O49</f>
        <v>1.2 A</v>
      </c>
      <c r="AB42" t="str">
        <f>O50</f>
        <v>1.1 A</v>
      </c>
      <c r="AC42" t="str">
        <f>O51</f>
        <v>1.1 A</v>
      </c>
      <c r="AD42">
        <v>1</v>
      </c>
      <c r="AE42" t="s">
        <v>14</v>
      </c>
      <c r="AF42" t="s">
        <v>27</v>
      </c>
    </row>
    <row r="43" spans="1:32" x14ac:dyDescent="0.3">
      <c r="A43">
        <v>82</v>
      </c>
      <c r="B43" t="s">
        <v>11</v>
      </c>
      <c r="C43" t="s">
        <v>16</v>
      </c>
      <c r="D43">
        <v>1.0247855377989099</v>
      </c>
      <c r="E43">
        <v>4.1140025095972803E-2</v>
      </c>
      <c r="F43">
        <v>3</v>
      </c>
      <c r="G43">
        <v>0.90187804089935497</v>
      </c>
      <c r="H43">
        <v>1.16444280807031</v>
      </c>
      <c r="I43" t="s">
        <v>24</v>
      </c>
      <c r="J43" t="s">
        <v>14</v>
      </c>
      <c r="K43">
        <v>0.98364551270293299</v>
      </c>
      <c r="L43" t="s">
        <v>34</v>
      </c>
      <c r="M43">
        <f t="shared" si="0"/>
        <v>1</v>
      </c>
      <c r="N43">
        <f t="shared" si="1"/>
        <v>0</v>
      </c>
      <c r="O43" t="str">
        <f t="shared" si="2"/>
        <v>1 AB</v>
      </c>
      <c r="P43" t="s">
        <v>16</v>
      </c>
      <c r="Q43" t="s">
        <v>14</v>
      </c>
      <c r="R43" t="s">
        <v>11</v>
      </c>
      <c r="S43" t="s">
        <v>34</v>
      </c>
      <c r="AE43" t="s">
        <v>14</v>
      </c>
      <c r="AF43" t="s">
        <v>27</v>
      </c>
    </row>
    <row r="44" spans="1:32" x14ac:dyDescent="0.3">
      <c r="A44">
        <v>83</v>
      </c>
      <c r="B44" t="s">
        <v>11</v>
      </c>
      <c r="C44" t="s">
        <v>18</v>
      </c>
      <c r="D44">
        <v>1.1430310978337801</v>
      </c>
      <c r="E44">
        <v>4.5886994220625699E-2</v>
      </c>
      <c r="F44">
        <v>3</v>
      </c>
      <c r="G44">
        <v>1.00594183775812</v>
      </c>
      <c r="H44">
        <v>1.29880281500854</v>
      </c>
      <c r="I44" t="s">
        <v>25</v>
      </c>
      <c r="J44" t="s">
        <v>14</v>
      </c>
      <c r="K44">
        <v>1.0971441036131599</v>
      </c>
      <c r="L44" t="s">
        <v>34</v>
      </c>
      <c r="M44">
        <f t="shared" si="0"/>
        <v>1.1000000000000001</v>
      </c>
      <c r="N44">
        <f t="shared" si="1"/>
        <v>0</v>
      </c>
      <c r="O44" t="str">
        <f t="shared" si="2"/>
        <v>1.1 A</v>
      </c>
      <c r="P44" t="s">
        <v>18</v>
      </c>
      <c r="Q44" t="s">
        <v>14</v>
      </c>
      <c r="R44" t="s">
        <v>11</v>
      </c>
      <c r="S44" t="s">
        <v>34</v>
      </c>
      <c r="AE44" t="s">
        <v>14</v>
      </c>
      <c r="AF44" t="s">
        <v>29</v>
      </c>
    </row>
    <row r="45" spans="1:32" x14ac:dyDescent="0.3">
      <c r="A45">
        <v>84</v>
      </c>
      <c r="B45" t="s">
        <v>11</v>
      </c>
      <c r="C45" t="s">
        <v>20</v>
      </c>
      <c r="D45">
        <v>1.0845435521670801</v>
      </c>
      <c r="E45">
        <v>4.35390111473105E-2</v>
      </c>
      <c r="F45">
        <v>3</v>
      </c>
      <c r="G45">
        <v>0.95446898694467097</v>
      </c>
      <c r="H45">
        <v>1.23234461531579</v>
      </c>
      <c r="I45" t="s">
        <v>25</v>
      </c>
      <c r="J45" t="s">
        <v>14</v>
      </c>
      <c r="K45">
        <v>1.0410045410197699</v>
      </c>
      <c r="L45" t="s">
        <v>34</v>
      </c>
      <c r="M45">
        <f t="shared" si="0"/>
        <v>1.1000000000000001</v>
      </c>
      <c r="N45">
        <f t="shared" si="1"/>
        <v>0</v>
      </c>
      <c r="O45" t="str">
        <f t="shared" si="2"/>
        <v>1.1 A</v>
      </c>
      <c r="P45" t="s">
        <v>20</v>
      </c>
      <c r="Q45" t="s">
        <v>14</v>
      </c>
      <c r="R45" t="s">
        <v>11</v>
      </c>
      <c r="S45" t="s">
        <v>34</v>
      </c>
      <c r="AE45" t="s">
        <v>14</v>
      </c>
      <c r="AF45" t="s">
        <v>29</v>
      </c>
    </row>
    <row r="46" spans="1:32" x14ac:dyDescent="0.3">
      <c r="A46">
        <v>85</v>
      </c>
      <c r="B46" t="s">
        <v>11</v>
      </c>
      <c r="C46" t="s">
        <v>21</v>
      </c>
      <c r="D46">
        <v>1.1697982605028501</v>
      </c>
      <c r="E46">
        <v>4.6961562218841797E-2</v>
      </c>
      <c r="F46">
        <v>3</v>
      </c>
      <c r="G46">
        <v>1.0294986848622101</v>
      </c>
      <c r="H46">
        <v>1.3292177934726099</v>
      </c>
      <c r="I46" t="s">
        <v>25</v>
      </c>
      <c r="J46" t="s">
        <v>14</v>
      </c>
      <c r="K46">
        <v>1.1228366982840099</v>
      </c>
      <c r="L46" t="s">
        <v>34</v>
      </c>
      <c r="M46">
        <f t="shared" si="0"/>
        <v>1.2</v>
      </c>
      <c r="N46">
        <f t="shared" si="1"/>
        <v>0</v>
      </c>
      <c r="O46" t="str">
        <f t="shared" si="2"/>
        <v>1.2 A</v>
      </c>
      <c r="P46" t="s">
        <v>21</v>
      </c>
      <c r="Q46" t="s">
        <v>14</v>
      </c>
      <c r="R46" t="s">
        <v>11</v>
      </c>
      <c r="S46" t="s">
        <v>34</v>
      </c>
      <c r="AE46" t="s">
        <v>14</v>
      </c>
      <c r="AF46" t="s">
        <v>29</v>
      </c>
    </row>
    <row r="47" spans="1:32" x14ac:dyDescent="0.3">
      <c r="A47">
        <v>86</v>
      </c>
      <c r="B47" t="s">
        <v>23</v>
      </c>
      <c r="C47" t="s">
        <v>12</v>
      </c>
      <c r="D47">
        <v>0.81890976665625403</v>
      </c>
      <c r="E47">
        <v>3.28751403185654E-2</v>
      </c>
      <c r="F47">
        <v>3</v>
      </c>
      <c r="G47">
        <v>0.72069394891306304</v>
      </c>
      <c r="H47">
        <v>0.930510387851052</v>
      </c>
      <c r="I47" t="s">
        <v>17</v>
      </c>
      <c r="J47" t="s">
        <v>14</v>
      </c>
      <c r="K47">
        <v>0.78603462633768895</v>
      </c>
      <c r="L47" t="s">
        <v>34</v>
      </c>
      <c r="M47">
        <f t="shared" si="0"/>
        <v>0.8</v>
      </c>
      <c r="N47">
        <f t="shared" si="1"/>
        <v>0</v>
      </c>
      <c r="O47" t="str">
        <f t="shared" si="2"/>
        <v>0.8 C</v>
      </c>
      <c r="P47" t="s">
        <v>12</v>
      </c>
      <c r="Q47" t="s">
        <v>14</v>
      </c>
      <c r="R47" t="s">
        <v>23</v>
      </c>
      <c r="S47" t="s">
        <v>34</v>
      </c>
      <c r="AE47" t="s">
        <v>14</v>
      </c>
      <c r="AF47" t="s">
        <v>29</v>
      </c>
    </row>
    <row r="48" spans="1:32" x14ac:dyDescent="0.3">
      <c r="A48">
        <v>87</v>
      </c>
      <c r="B48" t="s">
        <v>23</v>
      </c>
      <c r="C48" t="s">
        <v>16</v>
      </c>
      <c r="D48">
        <v>0.98713134435881</v>
      </c>
      <c r="E48">
        <v>3.9628397144605101E-2</v>
      </c>
      <c r="F48">
        <v>3</v>
      </c>
      <c r="G48">
        <v>0.86873989739633595</v>
      </c>
      <c r="H48">
        <v>1.1216571196235501</v>
      </c>
      <c r="I48" t="s">
        <v>24</v>
      </c>
      <c r="J48" t="s">
        <v>14</v>
      </c>
      <c r="K48">
        <v>0.94750294721420503</v>
      </c>
      <c r="L48" t="s">
        <v>34</v>
      </c>
      <c r="M48">
        <f t="shared" si="0"/>
        <v>1</v>
      </c>
      <c r="N48">
        <f t="shared" si="1"/>
        <v>0</v>
      </c>
      <c r="O48" t="str">
        <f t="shared" si="2"/>
        <v>1 AB</v>
      </c>
      <c r="P48" t="s">
        <v>16</v>
      </c>
      <c r="Q48" t="s">
        <v>14</v>
      </c>
      <c r="R48" t="s">
        <v>23</v>
      </c>
      <c r="S48" t="s">
        <v>34</v>
      </c>
      <c r="AE48" t="s">
        <v>14</v>
      </c>
      <c r="AF48" t="s">
        <v>29</v>
      </c>
    </row>
    <row r="49" spans="1:32" x14ac:dyDescent="0.3">
      <c r="A49">
        <v>88</v>
      </c>
      <c r="B49" t="s">
        <v>23</v>
      </c>
      <c r="C49" t="s">
        <v>18</v>
      </c>
      <c r="D49">
        <v>1.1749214429556201</v>
      </c>
      <c r="E49">
        <v>4.71672324268066E-2</v>
      </c>
      <c r="F49">
        <v>3</v>
      </c>
      <c r="G49">
        <v>1.0340074192102799</v>
      </c>
      <c r="H49">
        <v>1.3350391607163099</v>
      </c>
      <c r="I49" t="s">
        <v>25</v>
      </c>
      <c r="J49" t="s">
        <v>14</v>
      </c>
      <c r="K49">
        <v>1.1277542105288201</v>
      </c>
      <c r="L49" t="s">
        <v>34</v>
      </c>
      <c r="M49">
        <f t="shared" si="0"/>
        <v>1.2</v>
      </c>
      <c r="N49">
        <f t="shared" si="1"/>
        <v>0</v>
      </c>
      <c r="O49" t="str">
        <f t="shared" si="2"/>
        <v>1.2 A</v>
      </c>
      <c r="P49" t="s">
        <v>18</v>
      </c>
      <c r="Q49" t="s">
        <v>14</v>
      </c>
      <c r="R49" t="s">
        <v>23</v>
      </c>
      <c r="S49" t="s">
        <v>34</v>
      </c>
      <c r="AE49" t="s">
        <v>14</v>
      </c>
      <c r="AF49" t="s">
        <v>29</v>
      </c>
    </row>
    <row r="50" spans="1:32" x14ac:dyDescent="0.3">
      <c r="A50">
        <v>89</v>
      </c>
      <c r="B50" t="s">
        <v>23</v>
      </c>
      <c r="C50" t="s">
        <v>20</v>
      </c>
      <c r="D50">
        <v>1.09154540364399</v>
      </c>
      <c r="E50">
        <v>4.38201005409967E-2</v>
      </c>
      <c r="F50">
        <v>3</v>
      </c>
      <c r="G50">
        <v>0.96063107243450496</v>
      </c>
      <c r="H50">
        <v>1.2403006756764501</v>
      </c>
      <c r="I50" t="s">
        <v>25</v>
      </c>
      <c r="J50" t="s">
        <v>14</v>
      </c>
      <c r="K50">
        <v>1.0477253031029901</v>
      </c>
      <c r="L50" t="s">
        <v>34</v>
      </c>
      <c r="M50">
        <f t="shared" si="0"/>
        <v>1.1000000000000001</v>
      </c>
      <c r="N50">
        <f t="shared" si="1"/>
        <v>0</v>
      </c>
      <c r="O50" t="str">
        <f t="shared" si="2"/>
        <v>1.1 A</v>
      </c>
      <c r="P50" t="s">
        <v>20</v>
      </c>
      <c r="Q50" t="s">
        <v>14</v>
      </c>
      <c r="R50" t="s">
        <v>23</v>
      </c>
      <c r="S50" t="s">
        <v>34</v>
      </c>
      <c r="AE50" t="s">
        <v>14</v>
      </c>
      <c r="AF50" t="s">
        <v>29</v>
      </c>
    </row>
    <row r="51" spans="1:32" x14ac:dyDescent="0.3">
      <c r="A51">
        <v>90</v>
      </c>
      <c r="B51" t="s">
        <v>23</v>
      </c>
      <c r="C51" t="s">
        <v>21</v>
      </c>
      <c r="D51">
        <v>1.14353114725532</v>
      </c>
      <c r="E51">
        <v>4.5907068709377302E-2</v>
      </c>
      <c r="F51">
        <v>3</v>
      </c>
      <c r="G51">
        <v>1.00638191382869</v>
      </c>
      <c r="H51">
        <v>1.2993710109198899</v>
      </c>
      <c r="I51" t="s">
        <v>25</v>
      </c>
      <c r="J51" t="s">
        <v>14</v>
      </c>
      <c r="K51">
        <v>1.0976240785459499</v>
      </c>
      <c r="L51" t="s">
        <v>34</v>
      </c>
      <c r="M51">
        <f t="shared" si="0"/>
        <v>1.1000000000000001</v>
      </c>
      <c r="N51">
        <f t="shared" si="1"/>
        <v>0</v>
      </c>
      <c r="O51" t="str">
        <f t="shared" si="2"/>
        <v>1.1 A</v>
      </c>
      <c r="P51" t="s">
        <v>21</v>
      </c>
      <c r="Q51" t="s">
        <v>14</v>
      </c>
      <c r="R51" t="s">
        <v>23</v>
      </c>
      <c r="S51" t="s">
        <v>34</v>
      </c>
      <c r="AE51" t="s">
        <v>14</v>
      </c>
      <c r="AF51" t="s">
        <v>29</v>
      </c>
    </row>
    <row r="52" spans="1:32" x14ac:dyDescent="0.3">
      <c r="A52">
        <v>101</v>
      </c>
      <c r="B52" t="s">
        <v>11</v>
      </c>
      <c r="C52" t="s">
        <v>12</v>
      </c>
      <c r="D52">
        <v>9.1011812968749908</v>
      </c>
      <c r="E52">
        <v>8.7217059967476196E-2</v>
      </c>
      <c r="F52">
        <v>3</v>
      </c>
      <c r="G52">
        <v>8.8236176866237894</v>
      </c>
      <c r="H52">
        <v>9.3787449071261904</v>
      </c>
      <c r="I52" t="s">
        <v>24</v>
      </c>
      <c r="J52" t="s">
        <v>14</v>
      </c>
      <c r="K52">
        <v>9.0139642369075208</v>
      </c>
      <c r="L52" t="s">
        <v>35</v>
      </c>
      <c r="M52">
        <f t="shared" si="0"/>
        <v>9.1</v>
      </c>
      <c r="N52">
        <f t="shared" si="1"/>
        <v>0.1</v>
      </c>
      <c r="O52" t="str">
        <f t="shared" si="2"/>
        <v>9.1 AB</v>
      </c>
      <c r="P52" t="s">
        <v>12</v>
      </c>
      <c r="Q52" t="s">
        <v>14</v>
      </c>
      <c r="R52" t="s">
        <v>11</v>
      </c>
      <c r="S52" t="s">
        <v>35</v>
      </c>
      <c r="T52" t="str">
        <f>O52</f>
        <v>9.1 AB</v>
      </c>
      <c r="U52" t="str">
        <f>O53</f>
        <v>8.6 CD</v>
      </c>
      <c r="V52" t="str">
        <f>O54</f>
        <v>7.9 EF</v>
      </c>
      <c r="W52" t="str">
        <f>O55</f>
        <v>8.3 DE</v>
      </c>
      <c r="X52" t="str">
        <f>O56</f>
        <v>7.7 F</v>
      </c>
      <c r="Y52" t="str">
        <f>O57</f>
        <v>9.2 A</v>
      </c>
      <c r="Z52" t="str">
        <f>O58</f>
        <v>8.8 BC</v>
      </c>
      <c r="AA52" t="str">
        <f>O59</f>
        <v>7.8 F</v>
      </c>
      <c r="AB52" t="str">
        <f>O60</f>
        <v>8.3 DE</v>
      </c>
      <c r="AC52" t="str">
        <f>O61</f>
        <v>8 EF</v>
      </c>
      <c r="AD52">
        <v>1</v>
      </c>
      <c r="AE52" t="s">
        <v>14</v>
      </c>
      <c r="AF52" t="s">
        <v>29</v>
      </c>
    </row>
    <row r="53" spans="1:32" x14ac:dyDescent="0.3">
      <c r="A53">
        <v>102</v>
      </c>
      <c r="B53" t="s">
        <v>11</v>
      </c>
      <c r="C53" t="s">
        <v>16</v>
      </c>
      <c r="D53">
        <v>8.5804036054999901</v>
      </c>
      <c r="E53">
        <v>8.7217059967476196E-2</v>
      </c>
      <c r="F53">
        <v>3</v>
      </c>
      <c r="G53">
        <v>8.3028399952487906</v>
      </c>
      <c r="H53">
        <v>8.8579672157512004</v>
      </c>
      <c r="I53" t="s">
        <v>36</v>
      </c>
      <c r="J53" t="s">
        <v>14</v>
      </c>
      <c r="K53">
        <v>8.4931865455325095</v>
      </c>
      <c r="L53" t="s">
        <v>35</v>
      </c>
      <c r="M53">
        <f t="shared" si="0"/>
        <v>8.6</v>
      </c>
      <c r="N53">
        <f t="shared" si="1"/>
        <v>0.1</v>
      </c>
      <c r="O53" t="str">
        <f t="shared" si="2"/>
        <v>8.6 CD</v>
      </c>
      <c r="P53" t="s">
        <v>16</v>
      </c>
      <c r="Q53" t="s">
        <v>14</v>
      </c>
      <c r="R53" t="s">
        <v>11</v>
      </c>
      <c r="S53" t="s">
        <v>35</v>
      </c>
      <c r="AE53" t="s">
        <v>14</v>
      </c>
      <c r="AF53" t="s">
        <v>33</v>
      </c>
    </row>
    <row r="54" spans="1:32" x14ac:dyDescent="0.3">
      <c r="A54">
        <v>103</v>
      </c>
      <c r="B54" t="s">
        <v>11</v>
      </c>
      <c r="C54" t="s">
        <v>18</v>
      </c>
      <c r="D54">
        <v>7.8846294626249804</v>
      </c>
      <c r="E54">
        <v>8.7217059967476196E-2</v>
      </c>
      <c r="F54">
        <v>3</v>
      </c>
      <c r="G54">
        <v>7.60706585237378</v>
      </c>
      <c r="H54">
        <v>8.16219307287618</v>
      </c>
      <c r="I54" t="s">
        <v>32</v>
      </c>
      <c r="J54" t="s">
        <v>14</v>
      </c>
      <c r="K54">
        <v>7.7974124026574998</v>
      </c>
      <c r="L54" t="s">
        <v>35</v>
      </c>
      <c r="M54">
        <f t="shared" si="0"/>
        <v>7.9</v>
      </c>
      <c r="N54">
        <f t="shared" si="1"/>
        <v>0.1</v>
      </c>
      <c r="O54" t="str">
        <f t="shared" si="2"/>
        <v>7.9 EF</v>
      </c>
      <c r="P54" t="s">
        <v>18</v>
      </c>
      <c r="Q54" t="s">
        <v>14</v>
      </c>
      <c r="R54" t="s">
        <v>11</v>
      </c>
      <c r="S54" t="s">
        <v>35</v>
      </c>
      <c r="AE54" t="s">
        <v>14</v>
      </c>
      <c r="AF54" t="s">
        <v>33</v>
      </c>
    </row>
    <row r="55" spans="1:32" x14ac:dyDescent="0.3">
      <c r="A55">
        <v>104</v>
      </c>
      <c r="B55" t="s">
        <v>11</v>
      </c>
      <c r="C55" t="s">
        <v>20</v>
      </c>
      <c r="D55">
        <v>8.2880234907499908</v>
      </c>
      <c r="E55">
        <v>8.7217059967476196E-2</v>
      </c>
      <c r="F55">
        <v>3</v>
      </c>
      <c r="G55">
        <v>8.0104598804987894</v>
      </c>
      <c r="H55">
        <v>8.5655871010011992</v>
      </c>
      <c r="I55" t="s">
        <v>37</v>
      </c>
      <c r="J55" t="s">
        <v>14</v>
      </c>
      <c r="K55">
        <v>8.2008064307825208</v>
      </c>
      <c r="L55" t="s">
        <v>35</v>
      </c>
      <c r="M55">
        <f t="shared" si="0"/>
        <v>8.3000000000000007</v>
      </c>
      <c r="N55">
        <f t="shared" si="1"/>
        <v>0.1</v>
      </c>
      <c r="O55" t="str">
        <f t="shared" si="2"/>
        <v>8.3 DE</v>
      </c>
      <c r="P55" t="s">
        <v>20</v>
      </c>
      <c r="Q55" t="s">
        <v>14</v>
      </c>
      <c r="R55" t="s">
        <v>11</v>
      </c>
      <c r="S55" t="s">
        <v>35</v>
      </c>
      <c r="AE55" t="s">
        <v>14</v>
      </c>
      <c r="AF55" t="s">
        <v>33</v>
      </c>
    </row>
    <row r="56" spans="1:32" x14ac:dyDescent="0.3">
      <c r="A56">
        <v>105</v>
      </c>
      <c r="B56" t="s">
        <v>11</v>
      </c>
      <c r="C56" t="s">
        <v>21</v>
      </c>
      <c r="D56">
        <v>7.7404643798749904</v>
      </c>
      <c r="E56">
        <v>8.7217059967476196E-2</v>
      </c>
      <c r="F56">
        <v>3</v>
      </c>
      <c r="G56">
        <v>7.4629007696237899</v>
      </c>
      <c r="H56">
        <v>8.0180279901261908</v>
      </c>
      <c r="I56" t="s">
        <v>30</v>
      </c>
      <c r="J56" t="s">
        <v>14</v>
      </c>
      <c r="K56">
        <v>7.6532473199075204</v>
      </c>
      <c r="L56" t="s">
        <v>35</v>
      </c>
      <c r="M56">
        <f t="shared" si="0"/>
        <v>7.7</v>
      </c>
      <c r="N56">
        <f t="shared" si="1"/>
        <v>0.1</v>
      </c>
      <c r="O56" t="str">
        <f t="shared" si="2"/>
        <v>7.7 F</v>
      </c>
      <c r="P56" t="s">
        <v>21</v>
      </c>
      <c r="Q56" t="s">
        <v>14</v>
      </c>
      <c r="R56" t="s">
        <v>11</v>
      </c>
      <c r="S56" t="s">
        <v>35</v>
      </c>
      <c r="AE56" t="s">
        <v>14</v>
      </c>
      <c r="AF56" t="s">
        <v>33</v>
      </c>
    </row>
    <row r="57" spans="1:32" x14ac:dyDescent="0.3">
      <c r="A57">
        <v>106</v>
      </c>
      <c r="B57" t="s">
        <v>23</v>
      </c>
      <c r="C57" t="s">
        <v>12</v>
      </c>
      <c r="D57">
        <v>9.2269380104999907</v>
      </c>
      <c r="E57">
        <v>8.7217059967476196E-2</v>
      </c>
      <c r="F57">
        <v>3</v>
      </c>
      <c r="G57">
        <v>8.9493744002487894</v>
      </c>
      <c r="H57">
        <v>9.5045016207511903</v>
      </c>
      <c r="I57" t="s">
        <v>25</v>
      </c>
      <c r="J57" t="s">
        <v>14</v>
      </c>
      <c r="K57">
        <v>9.1397209505325208</v>
      </c>
      <c r="L57" t="s">
        <v>35</v>
      </c>
      <c r="M57">
        <f t="shared" si="0"/>
        <v>9.1999999999999993</v>
      </c>
      <c r="N57">
        <f t="shared" si="1"/>
        <v>0.1</v>
      </c>
      <c r="O57" t="str">
        <f t="shared" si="2"/>
        <v>9.2 A</v>
      </c>
      <c r="P57" t="s">
        <v>12</v>
      </c>
      <c r="Q57" t="s">
        <v>14</v>
      </c>
      <c r="R57" t="s">
        <v>23</v>
      </c>
      <c r="S57" t="s">
        <v>35</v>
      </c>
      <c r="AE57" t="s">
        <v>14</v>
      </c>
      <c r="AF57" t="s">
        <v>33</v>
      </c>
    </row>
    <row r="58" spans="1:32" x14ac:dyDescent="0.3">
      <c r="A58">
        <v>107</v>
      </c>
      <c r="B58" t="s">
        <v>23</v>
      </c>
      <c r="C58" t="s">
        <v>16</v>
      </c>
      <c r="D58">
        <v>8.7772557007499898</v>
      </c>
      <c r="E58">
        <v>8.7217059967476196E-2</v>
      </c>
      <c r="F58">
        <v>3</v>
      </c>
      <c r="G58">
        <v>8.4996920904987903</v>
      </c>
      <c r="H58">
        <v>9.0548193110011894</v>
      </c>
      <c r="I58" t="s">
        <v>19</v>
      </c>
      <c r="J58" t="s">
        <v>14</v>
      </c>
      <c r="K58">
        <v>8.6900386407825199</v>
      </c>
      <c r="L58" t="s">
        <v>35</v>
      </c>
      <c r="M58">
        <f t="shared" si="0"/>
        <v>8.8000000000000007</v>
      </c>
      <c r="N58">
        <f t="shared" si="1"/>
        <v>0.1</v>
      </c>
      <c r="O58" t="str">
        <f t="shared" si="2"/>
        <v>8.8 BC</v>
      </c>
      <c r="P58" t="s">
        <v>16</v>
      </c>
      <c r="Q58" t="s">
        <v>14</v>
      </c>
      <c r="R58" t="s">
        <v>23</v>
      </c>
      <c r="S58" t="s">
        <v>35</v>
      </c>
      <c r="AE58" t="s">
        <v>14</v>
      </c>
      <c r="AF58" t="s">
        <v>33</v>
      </c>
    </row>
    <row r="59" spans="1:32" x14ac:dyDescent="0.3">
      <c r="A59">
        <v>108</v>
      </c>
      <c r="B59" t="s">
        <v>23</v>
      </c>
      <c r="C59" t="s">
        <v>18</v>
      </c>
      <c r="D59">
        <v>7.8472408886249898</v>
      </c>
      <c r="E59">
        <v>8.7217059967476196E-2</v>
      </c>
      <c r="F59">
        <v>3</v>
      </c>
      <c r="G59">
        <v>7.5696772783737902</v>
      </c>
      <c r="H59">
        <v>8.1248044988761894</v>
      </c>
      <c r="I59" t="s">
        <v>30</v>
      </c>
      <c r="J59" t="s">
        <v>14</v>
      </c>
      <c r="K59">
        <v>7.7600238286575198</v>
      </c>
      <c r="L59" t="s">
        <v>35</v>
      </c>
      <c r="M59">
        <f t="shared" si="0"/>
        <v>7.8</v>
      </c>
      <c r="N59">
        <f t="shared" si="1"/>
        <v>0.1</v>
      </c>
      <c r="O59" t="str">
        <f t="shared" si="2"/>
        <v>7.8 F</v>
      </c>
      <c r="P59" t="s">
        <v>18</v>
      </c>
      <c r="Q59" t="s">
        <v>14</v>
      </c>
      <c r="R59" t="s">
        <v>23</v>
      </c>
      <c r="S59" t="s">
        <v>35</v>
      </c>
      <c r="AE59" t="s">
        <v>14</v>
      </c>
      <c r="AF59" t="s">
        <v>33</v>
      </c>
    </row>
    <row r="60" spans="1:32" x14ac:dyDescent="0.3">
      <c r="A60">
        <v>109</v>
      </c>
      <c r="B60" t="s">
        <v>23</v>
      </c>
      <c r="C60" t="s">
        <v>20</v>
      </c>
      <c r="D60">
        <v>8.2758215947499902</v>
      </c>
      <c r="E60">
        <v>8.7217059967476196E-2</v>
      </c>
      <c r="F60">
        <v>3</v>
      </c>
      <c r="G60">
        <v>7.9982579844987898</v>
      </c>
      <c r="H60">
        <v>8.5533852050012005</v>
      </c>
      <c r="I60" t="s">
        <v>37</v>
      </c>
      <c r="J60" t="s">
        <v>14</v>
      </c>
      <c r="K60">
        <v>8.1886045347825203</v>
      </c>
      <c r="L60" t="s">
        <v>35</v>
      </c>
      <c r="M60">
        <f t="shared" si="0"/>
        <v>8.3000000000000007</v>
      </c>
      <c r="N60">
        <f t="shared" si="1"/>
        <v>0.1</v>
      </c>
      <c r="O60" t="str">
        <f t="shared" si="2"/>
        <v>8.3 DE</v>
      </c>
      <c r="P60" t="s">
        <v>20</v>
      </c>
      <c r="Q60" t="s">
        <v>14</v>
      </c>
      <c r="R60" t="s">
        <v>23</v>
      </c>
      <c r="S60" t="s">
        <v>35</v>
      </c>
      <c r="AE60" t="s">
        <v>14</v>
      </c>
      <c r="AF60" t="s">
        <v>33</v>
      </c>
    </row>
    <row r="61" spans="1:32" x14ac:dyDescent="0.3">
      <c r="A61">
        <v>110</v>
      </c>
      <c r="B61" t="s">
        <v>23</v>
      </c>
      <c r="C61" t="s">
        <v>21</v>
      </c>
      <c r="D61">
        <v>8.0372681499999903</v>
      </c>
      <c r="E61">
        <v>8.7217059967476196E-2</v>
      </c>
      <c r="F61">
        <v>3</v>
      </c>
      <c r="G61">
        <v>7.7597045397487898</v>
      </c>
      <c r="H61">
        <v>8.3148317602511899</v>
      </c>
      <c r="I61" t="s">
        <v>32</v>
      </c>
      <c r="J61" t="s">
        <v>14</v>
      </c>
      <c r="K61">
        <v>7.9500510900325203</v>
      </c>
      <c r="L61" t="s">
        <v>35</v>
      </c>
      <c r="M61">
        <f t="shared" si="0"/>
        <v>8</v>
      </c>
      <c r="N61">
        <f t="shared" si="1"/>
        <v>0.1</v>
      </c>
      <c r="O61" t="str">
        <f t="shared" si="2"/>
        <v>8 EF</v>
      </c>
      <c r="P61" t="s">
        <v>21</v>
      </c>
      <c r="Q61" t="s">
        <v>14</v>
      </c>
      <c r="R61" t="s">
        <v>23</v>
      </c>
      <c r="S61" t="s">
        <v>35</v>
      </c>
      <c r="AE61" t="s">
        <v>14</v>
      </c>
      <c r="AF61" t="s">
        <v>33</v>
      </c>
    </row>
    <row r="62" spans="1:32" x14ac:dyDescent="0.3">
      <c r="A62">
        <v>121</v>
      </c>
      <c r="B62" t="s">
        <v>11</v>
      </c>
      <c r="C62" t="s">
        <v>12</v>
      </c>
      <c r="D62">
        <v>2.4570187480084802</v>
      </c>
      <c r="E62">
        <v>0.14672225037335601</v>
      </c>
      <c r="F62">
        <v>3</v>
      </c>
      <c r="G62">
        <v>2.03176964739838</v>
      </c>
      <c r="H62">
        <v>2.9712724253929399</v>
      </c>
      <c r="I62" t="s">
        <v>17</v>
      </c>
      <c r="J62" t="s">
        <v>14</v>
      </c>
      <c r="K62">
        <v>2.3102964976351199</v>
      </c>
      <c r="L62" t="s">
        <v>40</v>
      </c>
      <c r="M62">
        <f t="shared" si="0"/>
        <v>2.5</v>
      </c>
      <c r="N62">
        <f t="shared" si="1"/>
        <v>0.1</v>
      </c>
      <c r="O62" t="str">
        <f t="shared" si="2"/>
        <v>2.5 C</v>
      </c>
      <c r="P62" t="s">
        <v>12</v>
      </c>
      <c r="Q62" t="s">
        <v>14</v>
      </c>
      <c r="R62" t="s">
        <v>11</v>
      </c>
      <c r="S62" t="s">
        <v>40</v>
      </c>
      <c r="T62" t="str">
        <f>O62</f>
        <v>2.5 C</v>
      </c>
      <c r="U62" t="str">
        <f>O63</f>
        <v>3.3 AB</v>
      </c>
      <c r="V62" t="str">
        <f>O64</f>
        <v>3.4 AB</v>
      </c>
      <c r="W62" t="str">
        <f>O65</f>
        <v>3.4 AB</v>
      </c>
      <c r="X62" t="str">
        <f>O66</f>
        <v>3.5 AB</v>
      </c>
      <c r="Y62" t="str">
        <f>O67</f>
        <v>2.7 BC</v>
      </c>
      <c r="Z62" t="str">
        <f>O68</f>
        <v>4 A</v>
      </c>
      <c r="AA62" t="str">
        <f>O69</f>
        <v>4.2 A</v>
      </c>
      <c r="AB62" t="str">
        <f>O70</f>
        <v>3.8 A</v>
      </c>
      <c r="AC62" t="str">
        <f>O71</f>
        <v>3.8 A</v>
      </c>
      <c r="AD62">
        <v>1</v>
      </c>
      <c r="AE62" t="s">
        <v>14</v>
      </c>
      <c r="AF62" t="s">
        <v>34</v>
      </c>
    </row>
    <row r="63" spans="1:32" x14ac:dyDescent="0.3">
      <c r="A63">
        <v>122</v>
      </c>
      <c r="B63" t="s">
        <v>11</v>
      </c>
      <c r="C63" t="s">
        <v>16</v>
      </c>
      <c r="D63">
        <v>3.2891982727523001</v>
      </c>
      <c r="E63">
        <v>0.19641631668197099</v>
      </c>
      <c r="F63">
        <v>3</v>
      </c>
      <c r="G63">
        <v>2.7199195041837201</v>
      </c>
      <c r="H63">
        <v>3.9776270072829298</v>
      </c>
      <c r="I63" t="s">
        <v>24</v>
      </c>
      <c r="J63" t="s">
        <v>14</v>
      </c>
      <c r="K63">
        <v>3.09278195607033</v>
      </c>
      <c r="L63" t="s">
        <v>40</v>
      </c>
      <c r="M63">
        <f t="shared" si="0"/>
        <v>3.3</v>
      </c>
      <c r="N63">
        <f t="shared" si="1"/>
        <v>0.2</v>
      </c>
      <c r="O63" t="str">
        <f t="shared" si="2"/>
        <v>3.3 AB</v>
      </c>
      <c r="P63" t="s">
        <v>16</v>
      </c>
      <c r="Q63" t="s">
        <v>14</v>
      </c>
      <c r="R63" t="s">
        <v>11</v>
      </c>
      <c r="S63" t="s">
        <v>40</v>
      </c>
      <c r="AE63" t="s">
        <v>14</v>
      </c>
      <c r="AF63" t="s">
        <v>34</v>
      </c>
    </row>
    <row r="64" spans="1:32" x14ac:dyDescent="0.3">
      <c r="A64">
        <v>123</v>
      </c>
      <c r="B64" t="s">
        <v>11</v>
      </c>
      <c r="C64" t="s">
        <v>18</v>
      </c>
      <c r="D64">
        <v>3.4230602689107101</v>
      </c>
      <c r="E64">
        <v>0.20440996074014101</v>
      </c>
      <c r="F64">
        <v>3</v>
      </c>
      <c r="G64">
        <v>2.83061330371424</v>
      </c>
      <c r="H64">
        <v>4.13950630035544</v>
      </c>
      <c r="I64" t="s">
        <v>24</v>
      </c>
      <c r="J64" t="s">
        <v>14</v>
      </c>
      <c r="K64">
        <v>3.2186503081705702</v>
      </c>
      <c r="L64" t="s">
        <v>40</v>
      </c>
      <c r="M64">
        <f t="shared" si="0"/>
        <v>3.4</v>
      </c>
      <c r="N64">
        <f t="shared" si="1"/>
        <v>0.2</v>
      </c>
      <c r="O64" t="str">
        <f t="shared" si="2"/>
        <v>3.4 AB</v>
      </c>
      <c r="P64" t="s">
        <v>18</v>
      </c>
      <c r="Q64" t="s">
        <v>14</v>
      </c>
      <c r="R64" t="s">
        <v>11</v>
      </c>
      <c r="S64" t="s">
        <v>40</v>
      </c>
      <c r="AE64" t="s">
        <v>14</v>
      </c>
      <c r="AF64" t="s">
        <v>34</v>
      </c>
    </row>
    <row r="65" spans="1:32" x14ac:dyDescent="0.3">
      <c r="A65">
        <v>124</v>
      </c>
      <c r="B65" t="s">
        <v>11</v>
      </c>
      <c r="C65" t="s">
        <v>20</v>
      </c>
      <c r="D65">
        <v>3.39074735492416</v>
      </c>
      <c r="E65">
        <v>0.202480376987445</v>
      </c>
      <c r="F65">
        <v>3</v>
      </c>
      <c r="G65">
        <v>2.8038929549541498</v>
      </c>
      <c r="H65">
        <v>4.1004302980293899</v>
      </c>
      <c r="I65" t="s">
        <v>24</v>
      </c>
      <c r="J65" t="s">
        <v>14</v>
      </c>
      <c r="K65">
        <v>3.1882669779367099</v>
      </c>
      <c r="L65" t="s">
        <v>40</v>
      </c>
      <c r="M65">
        <f t="shared" si="0"/>
        <v>3.4</v>
      </c>
      <c r="N65">
        <f t="shared" si="1"/>
        <v>0.2</v>
      </c>
      <c r="O65" t="str">
        <f t="shared" si="2"/>
        <v>3.4 AB</v>
      </c>
      <c r="P65" t="s">
        <v>20</v>
      </c>
      <c r="Q65" t="s">
        <v>14</v>
      </c>
      <c r="R65" t="s">
        <v>11</v>
      </c>
      <c r="S65" t="s">
        <v>40</v>
      </c>
      <c r="AE65" t="s">
        <v>14</v>
      </c>
      <c r="AF65" t="s">
        <v>34</v>
      </c>
    </row>
    <row r="66" spans="1:32" x14ac:dyDescent="0.3">
      <c r="A66">
        <v>125</v>
      </c>
      <c r="B66" t="s">
        <v>11</v>
      </c>
      <c r="C66" t="s">
        <v>21</v>
      </c>
      <c r="D66">
        <v>3.53314888587244</v>
      </c>
      <c r="E66">
        <v>0.210983964147404</v>
      </c>
      <c r="F66">
        <v>3</v>
      </c>
      <c r="G66">
        <v>2.9216483072721999</v>
      </c>
      <c r="H66">
        <v>4.2726364493187701</v>
      </c>
      <c r="I66" t="s">
        <v>24</v>
      </c>
      <c r="J66" t="s">
        <v>14</v>
      </c>
      <c r="K66">
        <v>3.3221649217250402</v>
      </c>
      <c r="L66" t="s">
        <v>40</v>
      </c>
      <c r="M66">
        <f t="shared" si="0"/>
        <v>3.5</v>
      </c>
      <c r="N66">
        <f t="shared" si="1"/>
        <v>0.2</v>
      </c>
      <c r="O66" t="str">
        <f t="shared" si="2"/>
        <v>3.5 AB</v>
      </c>
      <c r="P66" t="s">
        <v>21</v>
      </c>
      <c r="Q66" t="s">
        <v>14</v>
      </c>
      <c r="R66" t="s">
        <v>11</v>
      </c>
      <c r="S66" t="s">
        <v>40</v>
      </c>
      <c r="AE66" t="s">
        <v>14</v>
      </c>
      <c r="AF66" t="s">
        <v>34</v>
      </c>
    </row>
    <row r="67" spans="1:32" x14ac:dyDescent="0.3">
      <c r="A67">
        <v>126</v>
      </c>
      <c r="B67" t="s">
        <v>23</v>
      </c>
      <c r="C67" t="s">
        <v>12</v>
      </c>
      <c r="D67">
        <v>2.6826182282962701</v>
      </c>
      <c r="E67">
        <v>0.16019404966577599</v>
      </c>
      <c r="F67">
        <v>3</v>
      </c>
      <c r="G67">
        <v>2.21832344430738</v>
      </c>
      <c r="H67">
        <v>3.2440898450831299</v>
      </c>
      <c r="I67" t="s">
        <v>19</v>
      </c>
      <c r="J67" t="s">
        <v>14</v>
      </c>
      <c r="K67">
        <v>2.52242417863049</v>
      </c>
      <c r="L67" t="s">
        <v>40</v>
      </c>
      <c r="M67">
        <f t="shared" ref="M67:M130" si="3">ROUND(D67,1)</f>
        <v>2.7</v>
      </c>
      <c r="N67">
        <f t="shared" ref="N67:N130" si="4">ROUND(E67,1)</f>
        <v>0.2</v>
      </c>
      <c r="O67" t="str">
        <f t="shared" ref="O67:O130" si="5">CONCATENATE(M67," ",I67)</f>
        <v>2.7 BC</v>
      </c>
      <c r="P67" t="s">
        <v>12</v>
      </c>
      <c r="Q67" t="s">
        <v>14</v>
      </c>
      <c r="R67" t="s">
        <v>23</v>
      </c>
      <c r="S67" t="s">
        <v>40</v>
      </c>
      <c r="AE67" t="s">
        <v>14</v>
      </c>
      <c r="AF67" t="s">
        <v>34</v>
      </c>
    </row>
    <row r="68" spans="1:32" x14ac:dyDescent="0.3">
      <c r="A68">
        <v>127</v>
      </c>
      <c r="B68" t="s">
        <v>23</v>
      </c>
      <c r="C68" t="s">
        <v>16</v>
      </c>
      <c r="D68">
        <v>3.9868467974653599</v>
      </c>
      <c r="E68">
        <v>0.23807678899156101</v>
      </c>
      <c r="F68">
        <v>3</v>
      </c>
      <c r="G68">
        <v>3.29682234556951</v>
      </c>
      <c r="H68">
        <v>4.8212932698119202</v>
      </c>
      <c r="I68" t="s">
        <v>25</v>
      </c>
      <c r="J68" t="s">
        <v>14</v>
      </c>
      <c r="K68">
        <v>3.7487700084737998</v>
      </c>
      <c r="L68" t="s">
        <v>40</v>
      </c>
      <c r="M68">
        <f t="shared" si="3"/>
        <v>4</v>
      </c>
      <c r="N68">
        <f t="shared" si="4"/>
        <v>0.2</v>
      </c>
      <c r="O68" t="str">
        <f t="shared" si="5"/>
        <v>4 A</v>
      </c>
      <c r="P68" t="s">
        <v>16</v>
      </c>
      <c r="Q68" t="s">
        <v>14</v>
      </c>
      <c r="R68" t="s">
        <v>23</v>
      </c>
      <c r="S68" t="s">
        <v>40</v>
      </c>
      <c r="AE68" t="s">
        <v>14</v>
      </c>
      <c r="AF68" t="s">
        <v>34</v>
      </c>
    </row>
    <row r="69" spans="1:32" x14ac:dyDescent="0.3">
      <c r="A69">
        <v>128</v>
      </c>
      <c r="B69" t="s">
        <v>23</v>
      </c>
      <c r="C69" t="s">
        <v>18</v>
      </c>
      <c r="D69">
        <v>4.2103944795166601</v>
      </c>
      <c r="E69">
        <v>0.25142606400336098</v>
      </c>
      <c r="F69">
        <v>3</v>
      </c>
      <c r="G69">
        <v>3.4816794597068101</v>
      </c>
      <c r="H69">
        <v>5.0916294501841302</v>
      </c>
      <c r="I69" t="s">
        <v>25</v>
      </c>
      <c r="J69" t="s">
        <v>14</v>
      </c>
      <c r="K69">
        <v>3.9589684155132998</v>
      </c>
      <c r="L69" t="s">
        <v>40</v>
      </c>
      <c r="M69">
        <f t="shared" si="3"/>
        <v>4.2</v>
      </c>
      <c r="N69">
        <f t="shared" si="4"/>
        <v>0.3</v>
      </c>
      <c r="O69" t="str">
        <f t="shared" si="5"/>
        <v>4.2 A</v>
      </c>
      <c r="P69" t="s">
        <v>18</v>
      </c>
      <c r="Q69" t="s">
        <v>14</v>
      </c>
      <c r="R69" t="s">
        <v>23</v>
      </c>
      <c r="S69" t="s">
        <v>40</v>
      </c>
      <c r="AE69" t="s">
        <v>14</v>
      </c>
      <c r="AF69" t="s">
        <v>34</v>
      </c>
    </row>
    <row r="70" spans="1:32" x14ac:dyDescent="0.3">
      <c r="A70">
        <v>129</v>
      </c>
      <c r="B70" t="s">
        <v>23</v>
      </c>
      <c r="C70" t="s">
        <v>20</v>
      </c>
      <c r="D70">
        <v>3.77964325842798</v>
      </c>
      <c r="E70">
        <v>0.225703513631929</v>
      </c>
      <c r="F70">
        <v>3</v>
      </c>
      <c r="G70">
        <v>3.1254806080305002</v>
      </c>
      <c r="H70">
        <v>4.57072205928102</v>
      </c>
      <c r="I70" t="s">
        <v>25</v>
      </c>
      <c r="J70" t="s">
        <v>14</v>
      </c>
      <c r="K70">
        <v>3.5539397447960499</v>
      </c>
      <c r="L70" t="s">
        <v>40</v>
      </c>
      <c r="M70">
        <f t="shared" si="3"/>
        <v>3.8</v>
      </c>
      <c r="N70">
        <f t="shared" si="4"/>
        <v>0.2</v>
      </c>
      <c r="O70" t="str">
        <f t="shared" si="5"/>
        <v>3.8 A</v>
      </c>
      <c r="P70" t="s">
        <v>20</v>
      </c>
      <c r="Q70" t="s">
        <v>14</v>
      </c>
      <c r="R70" t="s">
        <v>23</v>
      </c>
      <c r="S70" t="s">
        <v>40</v>
      </c>
      <c r="AE70" t="s">
        <v>14</v>
      </c>
      <c r="AF70" t="s">
        <v>34</v>
      </c>
    </row>
    <row r="71" spans="1:32" x14ac:dyDescent="0.3">
      <c r="A71">
        <v>130</v>
      </c>
      <c r="B71" t="s">
        <v>23</v>
      </c>
      <c r="C71" t="s">
        <v>21</v>
      </c>
      <c r="D71">
        <v>3.8390313916388599</v>
      </c>
      <c r="E71">
        <v>0.22924990926168801</v>
      </c>
      <c r="F71">
        <v>3</v>
      </c>
      <c r="G71">
        <v>3.1745901260475402</v>
      </c>
      <c r="H71">
        <v>4.64254012039597</v>
      </c>
      <c r="I71" t="s">
        <v>25</v>
      </c>
      <c r="J71" t="s">
        <v>14</v>
      </c>
      <c r="K71">
        <v>3.6097814823771799</v>
      </c>
      <c r="L71" t="s">
        <v>40</v>
      </c>
      <c r="M71">
        <f t="shared" si="3"/>
        <v>3.8</v>
      </c>
      <c r="N71">
        <f t="shared" si="4"/>
        <v>0.2</v>
      </c>
      <c r="O71" t="str">
        <f t="shared" si="5"/>
        <v>3.8 A</v>
      </c>
      <c r="P71" t="s">
        <v>21</v>
      </c>
      <c r="Q71" t="s">
        <v>14</v>
      </c>
      <c r="R71" t="s">
        <v>23</v>
      </c>
      <c r="S71" t="s">
        <v>40</v>
      </c>
      <c r="AE71" t="s">
        <v>14</v>
      </c>
      <c r="AF71" t="s">
        <v>35</v>
      </c>
    </row>
    <row r="72" spans="1:32" x14ac:dyDescent="0.3">
      <c r="A72">
        <v>141</v>
      </c>
      <c r="B72" t="s">
        <v>11</v>
      </c>
      <c r="C72" t="s">
        <v>12</v>
      </c>
      <c r="D72">
        <v>0.13336161324113499</v>
      </c>
      <c r="E72">
        <v>9.1234624720211901E-3</v>
      </c>
      <c r="F72">
        <v>3</v>
      </c>
      <c r="G72">
        <v>0.10726994864474799</v>
      </c>
      <c r="H72">
        <v>0.165799649491572</v>
      </c>
      <c r="I72" t="s">
        <v>28</v>
      </c>
      <c r="J72" t="s">
        <v>14</v>
      </c>
      <c r="K72">
        <v>0.124238150769114</v>
      </c>
      <c r="L72" t="s">
        <v>41</v>
      </c>
      <c r="M72">
        <f t="shared" si="3"/>
        <v>0.1</v>
      </c>
      <c r="N72">
        <f t="shared" si="4"/>
        <v>0</v>
      </c>
      <c r="O72" t="str">
        <f t="shared" si="5"/>
        <v>0.1 B</v>
      </c>
      <c r="P72" t="s">
        <v>12</v>
      </c>
      <c r="Q72" t="s">
        <v>14</v>
      </c>
      <c r="R72" t="s">
        <v>11</v>
      </c>
      <c r="S72" t="s">
        <v>41</v>
      </c>
      <c r="T72" t="str">
        <f>O72</f>
        <v>0.1 B</v>
      </c>
      <c r="U72" t="str">
        <f>O73</f>
        <v>0.2 A</v>
      </c>
      <c r="V72" t="str">
        <f>O74</f>
        <v>0.2 A</v>
      </c>
      <c r="W72" t="str">
        <f>O75</f>
        <v>0.2 A</v>
      </c>
      <c r="X72" t="str">
        <f>O76</f>
        <v>0.2 A</v>
      </c>
      <c r="Y72" t="str">
        <f>O77</f>
        <v>0.1 B</v>
      </c>
      <c r="Z72" t="str">
        <f>O78</f>
        <v>0.2 A</v>
      </c>
      <c r="AA72" t="str">
        <f>O79</f>
        <v>0.3 A</v>
      </c>
      <c r="AB72" t="str">
        <f>O80</f>
        <v>0.2 A</v>
      </c>
      <c r="AC72" t="str">
        <f>O81</f>
        <v>0.2 A</v>
      </c>
      <c r="AD72">
        <v>1</v>
      </c>
      <c r="AE72" t="s">
        <v>14</v>
      </c>
      <c r="AF72" t="s">
        <v>35</v>
      </c>
    </row>
    <row r="73" spans="1:32" x14ac:dyDescent="0.3">
      <c r="A73">
        <v>142</v>
      </c>
      <c r="B73" t="s">
        <v>11</v>
      </c>
      <c r="C73" t="s">
        <v>16</v>
      </c>
      <c r="D73">
        <v>0.20200976405850599</v>
      </c>
      <c r="E73">
        <v>1.3819782593940301E-2</v>
      </c>
      <c r="F73">
        <v>3</v>
      </c>
      <c r="G73">
        <v>0.16248736416462101</v>
      </c>
      <c r="H73">
        <v>0.25114534280727002</v>
      </c>
      <c r="I73" t="s">
        <v>25</v>
      </c>
      <c r="J73" t="s">
        <v>14</v>
      </c>
      <c r="K73">
        <v>0.188189981464566</v>
      </c>
      <c r="L73" t="s">
        <v>41</v>
      </c>
      <c r="M73">
        <f t="shared" si="3"/>
        <v>0.2</v>
      </c>
      <c r="N73">
        <f t="shared" si="4"/>
        <v>0</v>
      </c>
      <c r="O73" t="str">
        <f t="shared" si="5"/>
        <v>0.2 A</v>
      </c>
      <c r="P73" t="s">
        <v>16</v>
      </c>
      <c r="Q73" t="s">
        <v>14</v>
      </c>
      <c r="R73" t="s">
        <v>11</v>
      </c>
      <c r="S73" t="s">
        <v>41</v>
      </c>
      <c r="AE73" t="s">
        <v>14</v>
      </c>
      <c r="AF73" t="s">
        <v>35</v>
      </c>
    </row>
    <row r="74" spans="1:32" x14ac:dyDescent="0.3">
      <c r="A74">
        <v>143</v>
      </c>
      <c r="B74" t="s">
        <v>11</v>
      </c>
      <c r="C74" t="s">
        <v>18</v>
      </c>
      <c r="D74">
        <v>0.20734281177966801</v>
      </c>
      <c r="E74">
        <v>1.41846241668863E-2</v>
      </c>
      <c r="F74">
        <v>3</v>
      </c>
      <c r="G74">
        <v>0.16677702249482201</v>
      </c>
      <c r="H74">
        <v>0.25777556736290402</v>
      </c>
      <c r="I74" t="s">
        <v>25</v>
      </c>
      <c r="J74" t="s">
        <v>14</v>
      </c>
      <c r="K74">
        <v>0.193158187612781</v>
      </c>
      <c r="L74" t="s">
        <v>41</v>
      </c>
      <c r="M74">
        <f t="shared" si="3"/>
        <v>0.2</v>
      </c>
      <c r="N74">
        <f t="shared" si="4"/>
        <v>0</v>
      </c>
      <c r="O74" t="str">
        <f t="shared" si="5"/>
        <v>0.2 A</v>
      </c>
      <c r="P74" t="s">
        <v>18</v>
      </c>
      <c r="Q74" t="s">
        <v>14</v>
      </c>
      <c r="R74" t="s">
        <v>11</v>
      </c>
      <c r="S74" t="s">
        <v>41</v>
      </c>
      <c r="AE74" t="s">
        <v>14</v>
      </c>
      <c r="AF74" t="s">
        <v>35</v>
      </c>
    </row>
    <row r="75" spans="1:32" x14ac:dyDescent="0.3">
      <c r="A75">
        <v>144</v>
      </c>
      <c r="B75" t="s">
        <v>11</v>
      </c>
      <c r="C75" t="s">
        <v>20</v>
      </c>
      <c r="D75">
        <v>0.20004271662753001</v>
      </c>
      <c r="E75">
        <v>1.3685214010214899E-2</v>
      </c>
      <c r="F75">
        <v>3</v>
      </c>
      <c r="G75">
        <v>0.16090516167190599</v>
      </c>
      <c r="H75">
        <v>0.24869984318662999</v>
      </c>
      <c r="I75" t="s">
        <v>25</v>
      </c>
      <c r="J75" t="s">
        <v>14</v>
      </c>
      <c r="K75">
        <v>0.18635750261731501</v>
      </c>
      <c r="L75" t="s">
        <v>41</v>
      </c>
      <c r="M75">
        <f t="shared" si="3"/>
        <v>0.2</v>
      </c>
      <c r="N75">
        <f t="shared" si="4"/>
        <v>0</v>
      </c>
      <c r="O75" t="str">
        <f t="shared" si="5"/>
        <v>0.2 A</v>
      </c>
      <c r="P75" t="s">
        <v>20</v>
      </c>
      <c r="Q75" t="s">
        <v>14</v>
      </c>
      <c r="R75" t="s">
        <v>11</v>
      </c>
      <c r="S75" t="s">
        <v>41</v>
      </c>
      <c r="AE75" t="s">
        <v>14</v>
      </c>
      <c r="AF75" t="s">
        <v>35</v>
      </c>
    </row>
    <row r="76" spans="1:32" x14ac:dyDescent="0.3">
      <c r="A76">
        <v>145</v>
      </c>
      <c r="B76" t="s">
        <v>11</v>
      </c>
      <c r="C76" t="s">
        <v>21</v>
      </c>
      <c r="D76">
        <v>0.218877121167283</v>
      </c>
      <c r="E76">
        <v>1.49737030950807E-2</v>
      </c>
      <c r="F76">
        <v>3</v>
      </c>
      <c r="G76">
        <v>0.176054690525314</v>
      </c>
      <c r="H76">
        <v>0.272115409294301</v>
      </c>
      <c r="I76" t="s">
        <v>25</v>
      </c>
      <c r="J76" t="s">
        <v>14</v>
      </c>
      <c r="K76">
        <v>0.203903418072202</v>
      </c>
      <c r="L76" t="s">
        <v>41</v>
      </c>
      <c r="M76">
        <f t="shared" si="3"/>
        <v>0.2</v>
      </c>
      <c r="N76">
        <f t="shared" si="4"/>
        <v>0</v>
      </c>
      <c r="O76" t="str">
        <f t="shared" si="5"/>
        <v>0.2 A</v>
      </c>
      <c r="P76" t="s">
        <v>21</v>
      </c>
      <c r="Q76" t="s">
        <v>14</v>
      </c>
      <c r="R76" t="s">
        <v>11</v>
      </c>
      <c r="S76" t="s">
        <v>41</v>
      </c>
      <c r="AE76" t="s">
        <v>14</v>
      </c>
      <c r="AF76" t="s">
        <v>35</v>
      </c>
    </row>
    <row r="77" spans="1:32" x14ac:dyDescent="0.3">
      <c r="A77">
        <v>146</v>
      </c>
      <c r="B77" t="s">
        <v>23</v>
      </c>
      <c r="C77" t="s">
        <v>12</v>
      </c>
      <c r="D77">
        <v>0.14646133108987899</v>
      </c>
      <c r="E77">
        <v>1.00196332762164E-2</v>
      </c>
      <c r="F77">
        <v>3</v>
      </c>
      <c r="G77">
        <v>0.11780675925122</v>
      </c>
      <c r="H77">
        <v>0.18208565994821699</v>
      </c>
      <c r="I77" t="s">
        <v>28</v>
      </c>
      <c r="J77" t="s">
        <v>14</v>
      </c>
      <c r="K77">
        <v>0.136441697813663</v>
      </c>
      <c r="L77" t="s">
        <v>41</v>
      </c>
      <c r="M77">
        <f t="shared" si="3"/>
        <v>0.1</v>
      </c>
      <c r="N77">
        <f t="shared" si="4"/>
        <v>0</v>
      </c>
      <c r="O77" t="str">
        <f t="shared" si="5"/>
        <v>0.1 B</v>
      </c>
      <c r="P77" t="s">
        <v>12</v>
      </c>
      <c r="Q77" t="s">
        <v>14</v>
      </c>
      <c r="R77" t="s">
        <v>23</v>
      </c>
      <c r="S77" t="s">
        <v>41</v>
      </c>
      <c r="AE77" t="s">
        <v>14</v>
      </c>
      <c r="AF77" t="s">
        <v>35</v>
      </c>
    </row>
    <row r="78" spans="1:32" x14ac:dyDescent="0.3">
      <c r="A78">
        <v>147</v>
      </c>
      <c r="B78" t="s">
        <v>23</v>
      </c>
      <c r="C78" t="s">
        <v>16</v>
      </c>
      <c r="D78">
        <v>0.24707807326395001</v>
      </c>
      <c r="E78">
        <v>1.6902971359584899E-2</v>
      </c>
      <c r="F78">
        <v>3</v>
      </c>
      <c r="G78">
        <v>0.19873823948383401</v>
      </c>
      <c r="H78">
        <v>0.30717578281049202</v>
      </c>
      <c r="I78" t="s">
        <v>25</v>
      </c>
      <c r="J78" t="s">
        <v>14</v>
      </c>
      <c r="K78">
        <v>0.23017510190436499</v>
      </c>
      <c r="L78" t="s">
        <v>41</v>
      </c>
      <c r="M78">
        <f t="shared" si="3"/>
        <v>0.2</v>
      </c>
      <c r="N78">
        <f t="shared" si="4"/>
        <v>0</v>
      </c>
      <c r="O78" t="str">
        <f t="shared" si="5"/>
        <v>0.2 A</v>
      </c>
      <c r="P78" t="s">
        <v>16</v>
      </c>
      <c r="Q78" t="s">
        <v>14</v>
      </c>
      <c r="R78" t="s">
        <v>23</v>
      </c>
      <c r="S78" t="s">
        <v>41</v>
      </c>
      <c r="AE78" t="s">
        <v>14</v>
      </c>
      <c r="AF78" t="s">
        <v>35</v>
      </c>
    </row>
    <row r="79" spans="1:32" x14ac:dyDescent="0.3">
      <c r="A79">
        <v>148</v>
      </c>
      <c r="B79" t="s">
        <v>23</v>
      </c>
      <c r="C79" t="s">
        <v>18</v>
      </c>
      <c r="D79">
        <v>0.25975631027819102</v>
      </c>
      <c r="E79">
        <v>1.7770308045154799E-2</v>
      </c>
      <c r="F79">
        <v>3</v>
      </c>
      <c r="G79">
        <v>0.208936030290132</v>
      </c>
      <c r="H79">
        <v>0.32293779409728901</v>
      </c>
      <c r="I79" t="s">
        <v>25</v>
      </c>
      <c r="J79" t="s">
        <v>14</v>
      </c>
      <c r="K79">
        <v>0.24198600223303601</v>
      </c>
      <c r="L79" t="s">
        <v>41</v>
      </c>
      <c r="M79">
        <f t="shared" si="3"/>
        <v>0.3</v>
      </c>
      <c r="N79">
        <f t="shared" si="4"/>
        <v>0</v>
      </c>
      <c r="O79" t="str">
        <f t="shared" si="5"/>
        <v>0.3 A</v>
      </c>
      <c r="P79" t="s">
        <v>18</v>
      </c>
      <c r="Q79" t="s">
        <v>14</v>
      </c>
      <c r="R79" t="s">
        <v>23</v>
      </c>
      <c r="S79" t="s">
        <v>41</v>
      </c>
      <c r="AE79" t="s">
        <v>14</v>
      </c>
      <c r="AF79" t="s">
        <v>35</v>
      </c>
    </row>
    <row r="80" spans="1:32" x14ac:dyDescent="0.3">
      <c r="A80">
        <v>149</v>
      </c>
      <c r="B80" t="s">
        <v>23</v>
      </c>
      <c r="C80" t="s">
        <v>20</v>
      </c>
      <c r="D80">
        <v>0.24530291812648999</v>
      </c>
      <c r="E80">
        <v>1.6781530407537101E-2</v>
      </c>
      <c r="F80">
        <v>3</v>
      </c>
      <c r="G80">
        <v>0.197310386327263</v>
      </c>
      <c r="H80">
        <v>0.30496885015250302</v>
      </c>
      <c r="I80" t="s">
        <v>25</v>
      </c>
      <c r="J80" t="s">
        <v>14</v>
      </c>
      <c r="K80">
        <v>0.228521387718953</v>
      </c>
      <c r="L80" t="s">
        <v>41</v>
      </c>
      <c r="M80">
        <f t="shared" si="3"/>
        <v>0.2</v>
      </c>
      <c r="N80">
        <f t="shared" si="4"/>
        <v>0</v>
      </c>
      <c r="O80" t="str">
        <f t="shared" si="5"/>
        <v>0.2 A</v>
      </c>
      <c r="P80" t="s">
        <v>20</v>
      </c>
      <c r="Q80" t="s">
        <v>14</v>
      </c>
      <c r="R80" t="s">
        <v>23</v>
      </c>
      <c r="S80" t="s">
        <v>41</v>
      </c>
      <c r="AE80" t="s">
        <v>14</v>
      </c>
      <c r="AF80" t="s">
        <v>40</v>
      </c>
    </row>
    <row r="81" spans="1:32" x14ac:dyDescent="0.3">
      <c r="A81">
        <v>150</v>
      </c>
      <c r="B81" t="s">
        <v>23</v>
      </c>
      <c r="C81" t="s">
        <v>21</v>
      </c>
      <c r="D81">
        <v>0.24270363718358401</v>
      </c>
      <c r="E81">
        <v>1.6603709807137199E-2</v>
      </c>
      <c r="F81">
        <v>3</v>
      </c>
      <c r="G81">
        <v>0.195219644272766</v>
      </c>
      <c r="H81">
        <v>0.30173733653482598</v>
      </c>
      <c r="I81" t="s">
        <v>25</v>
      </c>
      <c r="J81" t="s">
        <v>14</v>
      </c>
      <c r="K81">
        <v>0.22609992737644599</v>
      </c>
      <c r="L81" t="s">
        <v>41</v>
      </c>
      <c r="M81">
        <f t="shared" si="3"/>
        <v>0.2</v>
      </c>
      <c r="N81">
        <f t="shared" si="4"/>
        <v>0</v>
      </c>
      <c r="O81" t="str">
        <f t="shared" si="5"/>
        <v>0.2 A</v>
      </c>
      <c r="P81" t="s">
        <v>21</v>
      </c>
      <c r="Q81" t="s">
        <v>14</v>
      </c>
      <c r="R81" t="s">
        <v>23</v>
      </c>
      <c r="S81" t="s">
        <v>41</v>
      </c>
      <c r="AE81" t="s">
        <v>14</v>
      </c>
      <c r="AF81" t="s">
        <v>40</v>
      </c>
    </row>
    <row r="82" spans="1:32" x14ac:dyDescent="0.3">
      <c r="A82">
        <v>161</v>
      </c>
      <c r="B82" t="s">
        <v>11</v>
      </c>
      <c r="C82" t="s">
        <v>12</v>
      </c>
      <c r="D82">
        <v>18.423732935235101</v>
      </c>
      <c r="E82">
        <v>0.71772162951336005</v>
      </c>
      <c r="F82">
        <v>3</v>
      </c>
      <c r="G82">
        <v>16.275536190095799</v>
      </c>
      <c r="H82">
        <v>20.855468680375701</v>
      </c>
      <c r="I82" t="s">
        <v>25</v>
      </c>
      <c r="J82" t="s">
        <v>14</v>
      </c>
      <c r="K82">
        <v>17.706011305721699</v>
      </c>
      <c r="L82" t="s">
        <v>42</v>
      </c>
      <c r="M82">
        <f t="shared" si="3"/>
        <v>18.399999999999999</v>
      </c>
      <c r="N82">
        <f t="shared" si="4"/>
        <v>0.7</v>
      </c>
      <c r="O82" t="str">
        <f t="shared" si="5"/>
        <v>18.4 A</v>
      </c>
      <c r="P82" t="s">
        <v>12</v>
      </c>
      <c r="Q82" t="s">
        <v>14</v>
      </c>
      <c r="R82" t="s">
        <v>11</v>
      </c>
      <c r="S82" t="s">
        <v>42</v>
      </c>
      <c r="T82" t="str">
        <f>O82</f>
        <v>18.4 A</v>
      </c>
      <c r="U82" t="str">
        <f>O83</f>
        <v>16.3 AB</v>
      </c>
      <c r="V82" t="str">
        <f>O84</f>
        <v>16.5 AB</v>
      </c>
      <c r="W82" t="str">
        <f>O85</f>
        <v>17 AB</v>
      </c>
      <c r="X82" t="str">
        <f>O86</f>
        <v>16.1 AB</v>
      </c>
      <c r="Y82" t="str">
        <f>O87</f>
        <v>18.3 A</v>
      </c>
      <c r="Z82" t="str">
        <f>O88</f>
        <v>16.1 AB</v>
      </c>
      <c r="AA82" t="str">
        <f>O89</f>
        <v>16.2 AB</v>
      </c>
      <c r="AB82" t="str">
        <f>O90</f>
        <v>15.4 B</v>
      </c>
      <c r="AC82" t="str">
        <f>O91</f>
        <v>15.8 AB</v>
      </c>
      <c r="AD82">
        <v>1</v>
      </c>
      <c r="AE82" t="s">
        <v>14</v>
      </c>
      <c r="AF82" t="s">
        <v>40</v>
      </c>
    </row>
    <row r="83" spans="1:32" x14ac:dyDescent="0.3">
      <c r="A83">
        <v>162</v>
      </c>
      <c r="B83" t="s">
        <v>11</v>
      </c>
      <c r="C83" t="s">
        <v>16</v>
      </c>
      <c r="D83">
        <v>16.282372735531599</v>
      </c>
      <c r="E83">
        <v>0.63430202408872005</v>
      </c>
      <c r="F83">
        <v>3</v>
      </c>
      <c r="G83">
        <v>14.3838573675239</v>
      </c>
      <c r="H83">
        <v>18.4314718315661</v>
      </c>
      <c r="I83" t="s">
        <v>24</v>
      </c>
      <c r="J83" t="s">
        <v>14</v>
      </c>
      <c r="K83">
        <v>15.6480707114428</v>
      </c>
      <c r="L83" t="s">
        <v>42</v>
      </c>
      <c r="M83">
        <f t="shared" si="3"/>
        <v>16.3</v>
      </c>
      <c r="N83">
        <f t="shared" si="4"/>
        <v>0.6</v>
      </c>
      <c r="O83" t="str">
        <f t="shared" si="5"/>
        <v>16.3 AB</v>
      </c>
      <c r="P83" t="s">
        <v>16</v>
      </c>
      <c r="Q83" t="s">
        <v>14</v>
      </c>
      <c r="R83" t="s">
        <v>11</v>
      </c>
      <c r="S83" t="s">
        <v>42</v>
      </c>
      <c r="AE83" t="s">
        <v>14</v>
      </c>
      <c r="AF83" t="s">
        <v>40</v>
      </c>
    </row>
    <row r="84" spans="1:32" x14ac:dyDescent="0.3">
      <c r="A84">
        <v>163</v>
      </c>
      <c r="B84" t="s">
        <v>11</v>
      </c>
      <c r="C84" t="s">
        <v>18</v>
      </c>
      <c r="D84">
        <v>16.509182260349501</v>
      </c>
      <c r="E84">
        <v>0.64313769828752498</v>
      </c>
      <c r="F84">
        <v>3</v>
      </c>
      <c r="G84">
        <v>14.5842210311967</v>
      </c>
      <c r="H84">
        <v>18.688217788418701</v>
      </c>
      <c r="I84" t="s">
        <v>24</v>
      </c>
      <c r="J84" t="s">
        <v>14</v>
      </c>
      <c r="K84">
        <v>15.866044562061999</v>
      </c>
      <c r="L84" t="s">
        <v>42</v>
      </c>
      <c r="M84">
        <f t="shared" si="3"/>
        <v>16.5</v>
      </c>
      <c r="N84">
        <f t="shared" si="4"/>
        <v>0.6</v>
      </c>
      <c r="O84" t="str">
        <f t="shared" si="5"/>
        <v>16.5 AB</v>
      </c>
      <c r="P84" t="s">
        <v>18</v>
      </c>
      <c r="Q84" t="s">
        <v>14</v>
      </c>
      <c r="R84" t="s">
        <v>11</v>
      </c>
      <c r="S84" t="s">
        <v>42</v>
      </c>
      <c r="AE84" t="s">
        <v>14</v>
      </c>
      <c r="AF84" t="s">
        <v>40</v>
      </c>
    </row>
    <row r="85" spans="1:32" x14ac:dyDescent="0.3">
      <c r="A85">
        <v>164</v>
      </c>
      <c r="B85" t="s">
        <v>11</v>
      </c>
      <c r="C85" t="s">
        <v>20</v>
      </c>
      <c r="D85">
        <v>16.950116515810301</v>
      </c>
      <c r="E85">
        <v>0.66031489323764903</v>
      </c>
      <c r="F85">
        <v>3</v>
      </c>
      <c r="G85">
        <v>14.973742604128301</v>
      </c>
      <c r="H85">
        <v>19.187350650754102</v>
      </c>
      <c r="I85" t="s">
        <v>24</v>
      </c>
      <c r="J85" t="s">
        <v>14</v>
      </c>
      <c r="K85">
        <v>16.2898016225727</v>
      </c>
      <c r="L85" t="s">
        <v>42</v>
      </c>
      <c r="M85">
        <f t="shared" si="3"/>
        <v>17</v>
      </c>
      <c r="N85">
        <f t="shared" si="4"/>
        <v>0.7</v>
      </c>
      <c r="O85" t="str">
        <f t="shared" si="5"/>
        <v>17 AB</v>
      </c>
      <c r="P85" t="s">
        <v>20</v>
      </c>
      <c r="Q85" t="s">
        <v>14</v>
      </c>
      <c r="R85" t="s">
        <v>11</v>
      </c>
      <c r="S85" t="s">
        <v>42</v>
      </c>
      <c r="AE85" t="s">
        <v>14</v>
      </c>
      <c r="AF85" t="s">
        <v>40</v>
      </c>
    </row>
    <row r="86" spans="1:32" x14ac:dyDescent="0.3">
      <c r="A86">
        <v>165</v>
      </c>
      <c r="B86" t="s">
        <v>11</v>
      </c>
      <c r="C86" t="s">
        <v>21</v>
      </c>
      <c r="D86">
        <v>16.142157144049399</v>
      </c>
      <c r="E86">
        <v>0.628839734597469</v>
      </c>
      <c r="F86">
        <v>3</v>
      </c>
      <c r="G86">
        <v>14.2599908339823</v>
      </c>
      <c r="H86">
        <v>18.272749281313398</v>
      </c>
      <c r="I86" t="s">
        <v>24</v>
      </c>
      <c r="J86" t="s">
        <v>14</v>
      </c>
      <c r="K86">
        <v>15.513317409451901</v>
      </c>
      <c r="L86" t="s">
        <v>42</v>
      </c>
      <c r="M86">
        <f t="shared" si="3"/>
        <v>16.100000000000001</v>
      </c>
      <c r="N86">
        <f t="shared" si="4"/>
        <v>0.6</v>
      </c>
      <c r="O86" t="str">
        <f t="shared" si="5"/>
        <v>16.1 AB</v>
      </c>
      <c r="P86" t="s">
        <v>21</v>
      </c>
      <c r="Q86" t="s">
        <v>14</v>
      </c>
      <c r="R86" t="s">
        <v>11</v>
      </c>
      <c r="S86" t="s">
        <v>42</v>
      </c>
      <c r="AE86" t="s">
        <v>14</v>
      </c>
      <c r="AF86" t="s">
        <v>40</v>
      </c>
    </row>
    <row r="87" spans="1:32" x14ac:dyDescent="0.3">
      <c r="A87">
        <v>166</v>
      </c>
      <c r="B87" t="s">
        <v>23</v>
      </c>
      <c r="C87" t="s">
        <v>12</v>
      </c>
      <c r="D87">
        <v>18.3162217947851</v>
      </c>
      <c r="E87">
        <v>0.71353338649085096</v>
      </c>
      <c r="F87">
        <v>3</v>
      </c>
      <c r="G87">
        <v>16.180560787261701</v>
      </c>
      <c r="H87">
        <v>20.733767218987499</v>
      </c>
      <c r="I87" t="s">
        <v>25</v>
      </c>
      <c r="J87" t="s">
        <v>14</v>
      </c>
      <c r="K87">
        <v>17.602688408294298</v>
      </c>
      <c r="L87" t="s">
        <v>42</v>
      </c>
      <c r="M87">
        <f t="shared" si="3"/>
        <v>18.3</v>
      </c>
      <c r="N87">
        <f t="shared" si="4"/>
        <v>0.7</v>
      </c>
      <c r="O87" t="str">
        <f t="shared" si="5"/>
        <v>18.3 A</v>
      </c>
      <c r="P87" t="s">
        <v>12</v>
      </c>
      <c r="Q87" t="s">
        <v>14</v>
      </c>
      <c r="R87" t="s">
        <v>23</v>
      </c>
      <c r="S87" t="s">
        <v>42</v>
      </c>
      <c r="AE87" t="s">
        <v>14</v>
      </c>
      <c r="AF87" t="s">
        <v>40</v>
      </c>
    </row>
    <row r="88" spans="1:32" x14ac:dyDescent="0.3">
      <c r="A88">
        <v>167</v>
      </c>
      <c r="B88" t="s">
        <v>23</v>
      </c>
      <c r="C88" t="s">
        <v>16</v>
      </c>
      <c r="D88">
        <v>16.135979792718199</v>
      </c>
      <c r="E88">
        <v>0.62859908745613802</v>
      </c>
      <c r="F88">
        <v>3</v>
      </c>
      <c r="G88">
        <v>14.2545337582907</v>
      </c>
      <c r="H88">
        <v>18.26575658566</v>
      </c>
      <c r="I88" t="s">
        <v>24</v>
      </c>
      <c r="J88" t="s">
        <v>14</v>
      </c>
      <c r="K88">
        <v>15.507380705262101</v>
      </c>
      <c r="L88" t="s">
        <v>42</v>
      </c>
      <c r="M88">
        <f t="shared" si="3"/>
        <v>16.100000000000001</v>
      </c>
      <c r="N88">
        <f t="shared" si="4"/>
        <v>0.6</v>
      </c>
      <c r="O88" t="str">
        <f t="shared" si="5"/>
        <v>16.1 AB</v>
      </c>
      <c r="P88" t="s">
        <v>16</v>
      </c>
      <c r="Q88" t="s">
        <v>14</v>
      </c>
      <c r="R88" t="s">
        <v>23</v>
      </c>
      <c r="S88" t="s">
        <v>42</v>
      </c>
      <c r="AE88" t="s">
        <v>14</v>
      </c>
      <c r="AF88" t="s">
        <v>40</v>
      </c>
    </row>
    <row r="89" spans="1:32" x14ac:dyDescent="0.3">
      <c r="A89">
        <v>168</v>
      </c>
      <c r="B89" t="s">
        <v>23</v>
      </c>
      <c r="C89" t="s">
        <v>18</v>
      </c>
      <c r="D89">
        <v>16.209017106969799</v>
      </c>
      <c r="E89">
        <v>0.63144435558850998</v>
      </c>
      <c r="F89">
        <v>3</v>
      </c>
      <c r="G89">
        <v>14.3190549633857</v>
      </c>
      <c r="H89">
        <v>18.348434044415399</v>
      </c>
      <c r="I89" t="s">
        <v>24</v>
      </c>
      <c r="J89" t="s">
        <v>14</v>
      </c>
      <c r="K89">
        <v>15.5775727513813</v>
      </c>
      <c r="L89" t="s">
        <v>42</v>
      </c>
      <c r="M89">
        <f t="shared" si="3"/>
        <v>16.2</v>
      </c>
      <c r="N89">
        <f t="shared" si="4"/>
        <v>0.6</v>
      </c>
      <c r="O89" t="str">
        <f t="shared" si="5"/>
        <v>16.2 AB</v>
      </c>
      <c r="P89" t="s">
        <v>18</v>
      </c>
      <c r="Q89" t="s">
        <v>14</v>
      </c>
      <c r="R89" t="s">
        <v>23</v>
      </c>
      <c r="S89" t="s">
        <v>42</v>
      </c>
      <c r="AE89" t="s">
        <v>14</v>
      </c>
      <c r="AF89" t="s">
        <v>41</v>
      </c>
    </row>
    <row r="90" spans="1:32" x14ac:dyDescent="0.3">
      <c r="A90">
        <v>169</v>
      </c>
      <c r="B90" t="s">
        <v>23</v>
      </c>
      <c r="C90" t="s">
        <v>20</v>
      </c>
      <c r="D90">
        <v>15.408064806473099</v>
      </c>
      <c r="E90">
        <v>0.60024216696062505</v>
      </c>
      <c r="F90">
        <v>3</v>
      </c>
      <c r="G90">
        <v>13.6114932439936</v>
      </c>
      <c r="H90">
        <v>17.441764604720099</v>
      </c>
      <c r="I90" t="s">
        <v>28</v>
      </c>
      <c r="J90" t="s">
        <v>14</v>
      </c>
      <c r="K90">
        <v>14.8078226395125</v>
      </c>
      <c r="L90" t="s">
        <v>42</v>
      </c>
      <c r="M90">
        <f t="shared" si="3"/>
        <v>15.4</v>
      </c>
      <c r="N90">
        <f t="shared" si="4"/>
        <v>0.6</v>
      </c>
      <c r="O90" t="str">
        <f t="shared" si="5"/>
        <v>15.4 B</v>
      </c>
      <c r="P90" t="s">
        <v>20</v>
      </c>
      <c r="Q90" t="s">
        <v>14</v>
      </c>
      <c r="R90" t="s">
        <v>23</v>
      </c>
      <c r="S90" t="s">
        <v>42</v>
      </c>
      <c r="AE90" t="s">
        <v>14</v>
      </c>
      <c r="AF90" t="s">
        <v>41</v>
      </c>
    </row>
    <row r="91" spans="1:32" x14ac:dyDescent="0.3">
      <c r="A91">
        <v>170</v>
      </c>
      <c r="B91" t="s">
        <v>23</v>
      </c>
      <c r="C91" t="s">
        <v>21</v>
      </c>
      <c r="D91">
        <v>15.817774460634601</v>
      </c>
      <c r="E91">
        <v>0.61620296500550797</v>
      </c>
      <c r="F91">
        <v>3</v>
      </c>
      <c r="G91">
        <v>13.9734309863164</v>
      </c>
      <c r="H91">
        <v>17.9055515522649</v>
      </c>
      <c r="I91" t="s">
        <v>24</v>
      </c>
      <c r="J91" t="s">
        <v>14</v>
      </c>
      <c r="K91">
        <v>15.2015714956291</v>
      </c>
      <c r="L91" t="s">
        <v>42</v>
      </c>
      <c r="M91">
        <f t="shared" si="3"/>
        <v>15.8</v>
      </c>
      <c r="N91">
        <f t="shared" si="4"/>
        <v>0.6</v>
      </c>
      <c r="O91" t="str">
        <f t="shared" si="5"/>
        <v>15.8 AB</v>
      </c>
      <c r="P91" t="s">
        <v>21</v>
      </c>
      <c r="Q91" t="s">
        <v>14</v>
      </c>
      <c r="R91" t="s">
        <v>23</v>
      </c>
      <c r="S91" t="s">
        <v>42</v>
      </c>
      <c r="AE91" t="s">
        <v>14</v>
      </c>
      <c r="AF91" t="s">
        <v>41</v>
      </c>
    </row>
    <row r="92" spans="1:32" x14ac:dyDescent="0.3">
      <c r="A92">
        <v>181</v>
      </c>
      <c r="B92" t="s">
        <v>11</v>
      </c>
      <c r="C92" t="s">
        <v>12</v>
      </c>
      <c r="D92">
        <v>458.667458762499</v>
      </c>
      <c r="E92">
        <v>84.090155509689893</v>
      </c>
      <c r="F92">
        <v>3</v>
      </c>
      <c r="G92">
        <v>191.05505404995401</v>
      </c>
      <c r="H92">
        <v>726.27986347504395</v>
      </c>
      <c r="I92" t="s">
        <v>25</v>
      </c>
      <c r="J92" t="s">
        <v>14</v>
      </c>
      <c r="K92">
        <v>374.57730325280897</v>
      </c>
      <c r="L92" t="s">
        <v>43</v>
      </c>
      <c r="M92">
        <f t="shared" si="3"/>
        <v>458.7</v>
      </c>
      <c r="N92">
        <f t="shared" si="4"/>
        <v>84.1</v>
      </c>
      <c r="O92" t="str">
        <f t="shared" si="5"/>
        <v>458.7 A</v>
      </c>
      <c r="P92" t="s">
        <v>12</v>
      </c>
      <c r="Q92" t="s">
        <v>14</v>
      </c>
      <c r="R92" t="s">
        <v>11</v>
      </c>
      <c r="S92" t="s">
        <v>43</v>
      </c>
      <c r="T92" t="str">
        <f>O92</f>
        <v>458.7 A</v>
      </c>
      <c r="U92" t="str">
        <f>O93</f>
        <v>780.8 A</v>
      </c>
      <c r="V92" t="str">
        <f>O94</f>
        <v>655.7 A</v>
      </c>
      <c r="W92" t="str">
        <f>O95</f>
        <v>709.2 A</v>
      </c>
      <c r="X92" t="str">
        <f>O96</f>
        <v>831.1 A</v>
      </c>
      <c r="Y92" t="str">
        <f>O97</f>
        <v>566.4 A</v>
      </c>
      <c r="Z92" t="str">
        <f>O98</f>
        <v>699.4 A</v>
      </c>
      <c r="AA92" t="str">
        <f>O99</f>
        <v>749.7 A</v>
      </c>
      <c r="AB92" t="str">
        <f>O100</f>
        <v>802.9 A</v>
      </c>
      <c r="AC92" t="str">
        <f>O101</f>
        <v>813.3 A</v>
      </c>
      <c r="AD92">
        <v>1</v>
      </c>
      <c r="AE92" t="s">
        <v>14</v>
      </c>
      <c r="AF92" t="s">
        <v>41</v>
      </c>
    </row>
    <row r="93" spans="1:32" x14ac:dyDescent="0.3">
      <c r="A93">
        <v>182</v>
      </c>
      <c r="B93" t="s">
        <v>11</v>
      </c>
      <c r="C93" t="s">
        <v>16</v>
      </c>
      <c r="D93">
        <v>780.76647114999901</v>
      </c>
      <c r="E93">
        <v>84.090155509690007</v>
      </c>
      <c r="F93">
        <v>3</v>
      </c>
      <c r="G93">
        <v>513.15406643745405</v>
      </c>
      <c r="H93">
        <v>1048.3788758625401</v>
      </c>
      <c r="I93" t="s">
        <v>25</v>
      </c>
      <c r="J93" t="s">
        <v>14</v>
      </c>
      <c r="K93">
        <v>696.67631564031001</v>
      </c>
      <c r="L93" t="s">
        <v>43</v>
      </c>
      <c r="M93">
        <f t="shared" si="3"/>
        <v>780.8</v>
      </c>
      <c r="N93">
        <f t="shared" si="4"/>
        <v>84.1</v>
      </c>
      <c r="O93" t="str">
        <f t="shared" si="5"/>
        <v>780.8 A</v>
      </c>
      <c r="P93" t="s">
        <v>16</v>
      </c>
      <c r="Q93" t="s">
        <v>14</v>
      </c>
      <c r="R93" t="s">
        <v>11</v>
      </c>
      <c r="S93" t="s">
        <v>43</v>
      </c>
      <c r="AE93" t="s">
        <v>14</v>
      </c>
      <c r="AF93" t="s">
        <v>41</v>
      </c>
    </row>
    <row r="94" spans="1:32" x14ac:dyDescent="0.3">
      <c r="A94">
        <v>183</v>
      </c>
      <c r="B94" t="s">
        <v>11</v>
      </c>
      <c r="C94" t="s">
        <v>18</v>
      </c>
      <c r="D94">
        <v>655.65024906249903</v>
      </c>
      <c r="E94">
        <v>84.090155509690007</v>
      </c>
      <c r="F94">
        <v>3</v>
      </c>
      <c r="G94">
        <v>388.03784434995299</v>
      </c>
      <c r="H94">
        <v>923.26265377504399</v>
      </c>
      <c r="I94" t="s">
        <v>25</v>
      </c>
      <c r="J94" t="s">
        <v>14</v>
      </c>
      <c r="K94">
        <v>571.56009355280901</v>
      </c>
      <c r="L94" t="s">
        <v>43</v>
      </c>
      <c r="M94">
        <f t="shared" si="3"/>
        <v>655.7</v>
      </c>
      <c r="N94">
        <f t="shared" si="4"/>
        <v>84.1</v>
      </c>
      <c r="O94" t="str">
        <f t="shared" si="5"/>
        <v>655.7 A</v>
      </c>
      <c r="P94" t="s">
        <v>18</v>
      </c>
      <c r="Q94" t="s">
        <v>14</v>
      </c>
      <c r="R94" t="s">
        <v>11</v>
      </c>
      <c r="S94" t="s">
        <v>43</v>
      </c>
      <c r="AE94" t="s">
        <v>14</v>
      </c>
      <c r="AF94" t="s">
        <v>41</v>
      </c>
    </row>
    <row r="95" spans="1:32" x14ac:dyDescent="0.3">
      <c r="A95">
        <v>184</v>
      </c>
      <c r="B95" t="s">
        <v>11</v>
      </c>
      <c r="C95" t="s">
        <v>20</v>
      </c>
      <c r="D95">
        <v>709.16730344999996</v>
      </c>
      <c r="E95">
        <v>84.090155509690007</v>
      </c>
      <c r="F95">
        <v>3</v>
      </c>
      <c r="G95">
        <v>441.55489873745398</v>
      </c>
      <c r="H95">
        <v>976.77970816254503</v>
      </c>
      <c r="I95" t="s">
        <v>25</v>
      </c>
      <c r="J95" t="s">
        <v>14</v>
      </c>
      <c r="K95">
        <v>625.07714794031006</v>
      </c>
      <c r="L95" t="s">
        <v>43</v>
      </c>
      <c r="M95">
        <f t="shared" si="3"/>
        <v>709.2</v>
      </c>
      <c r="N95">
        <f t="shared" si="4"/>
        <v>84.1</v>
      </c>
      <c r="O95" t="str">
        <f t="shared" si="5"/>
        <v>709.2 A</v>
      </c>
      <c r="P95" t="s">
        <v>20</v>
      </c>
      <c r="Q95" t="s">
        <v>14</v>
      </c>
      <c r="R95" t="s">
        <v>11</v>
      </c>
      <c r="S95" t="s">
        <v>43</v>
      </c>
      <c r="AE95" t="s">
        <v>14</v>
      </c>
      <c r="AF95" t="s">
        <v>41</v>
      </c>
    </row>
    <row r="96" spans="1:32" x14ac:dyDescent="0.3">
      <c r="A96">
        <v>185</v>
      </c>
      <c r="B96" t="s">
        <v>11</v>
      </c>
      <c r="C96" t="s">
        <v>21</v>
      </c>
      <c r="D96">
        <v>831.12929384999995</v>
      </c>
      <c r="E96">
        <v>84.090155509689893</v>
      </c>
      <c r="F96">
        <v>3</v>
      </c>
      <c r="G96">
        <v>563.51688913745397</v>
      </c>
      <c r="H96">
        <v>1098.74169856254</v>
      </c>
      <c r="I96" t="s">
        <v>25</v>
      </c>
      <c r="J96" t="s">
        <v>14</v>
      </c>
      <c r="K96">
        <v>747.03913834031005</v>
      </c>
      <c r="L96" t="s">
        <v>43</v>
      </c>
      <c r="M96">
        <f t="shared" si="3"/>
        <v>831.1</v>
      </c>
      <c r="N96">
        <f t="shared" si="4"/>
        <v>84.1</v>
      </c>
      <c r="O96" t="str">
        <f t="shared" si="5"/>
        <v>831.1 A</v>
      </c>
      <c r="P96" t="s">
        <v>21</v>
      </c>
      <c r="Q96" t="s">
        <v>14</v>
      </c>
      <c r="R96" t="s">
        <v>11</v>
      </c>
      <c r="S96" t="s">
        <v>43</v>
      </c>
      <c r="AE96" t="s">
        <v>14</v>
      </c>
      <c r="AF96" t="s">
        <v>41</v>
      </c>
    </row>
    <row r="97" spans="1:32" x14ac:dyDescent="0.3">
      <c r="A97">
        <v>186</v>
      </c>
      <c r="B97" t="s">
        <v>23</v>
      </c>
      <c r="C97" t="s">
        <v>12</v>
      </c>
      <c r="D97">
        <v>566.37334426250004</v>
      </c>
      <c r="E97">
        <v>84.090155509690007</v>
      </c>
      <c r="F97">
        <v>3</v>
      </c>
      <c r="G97">
        <v>298.760939549954</v>
      </c>
      <c r="H97">
        <v>833.985748975045</v>
      </c>
      <c r="I97" t="s">
        <v>25</v>
      </c>
      <c r="J97" t="s">
        <v>14</v>
      </c>
      <c r="K97">
        <v>482.28318875281002</v>
      </c>
      <c r="L97" t="s">
        <v>43</v>
      </c>
      <c r="M97">
        <f t="shared" si="3"/>
        <v>566.4</v>
      </c>
      <c r="N97">
        <f t="shared" si="4"/>
        <v>84.1</v>
      </c>
      <c r="O97" t="str">
        <f t="shared" si="5"/>
        <v>566.4 A</v>
      </c>
      <c r="P97" t="s">
        <v>12</v>
      </c>
      <c r="Q97" t="s">
        <v>14</v>
      </c>
      <c r="R97" t="s">
        <v>23</v>
      </c>
      <c r="S97" t="s">
        <v>43</v>
      </c>
      <c r="AE97" t="s">
        <v>14</v>
      </c>
      <c r="AF97" t="s">
        <v>41</v>
      </c>
    </row>
    <row r="98" spans="1:32" x14ac:dyDescent="0.3">
      <c r="A98">
        <v>187</v>
      </c>
      <c r="B98" t="s">
        <v>23</v>
      </c>
      <c r="C98" t="s">
        <v>16</v>
      </c>
      <c r="D98">
        <v>699.39101422500005</v>
      </c>
      <c r="E98">
        <v>84.090155509690007</v>
      </c>
      <c r="F98">
        <v>3</v>
      </c>
      <c r="G98">
        <v>431.77860951245401</v>
      </c>
      <c r="H98">
        <v>967.00341893754501</v>
      </c>
      <c r="I98" t="s">
        <v>25</v>
      </c>
      <c r="J98" t="s">
        <v>14</v>
      </c>
      <c r="K98">
        <v>615.30085871531003</v>
      </c>
      <c r="L98" t="s">
        <v>43</v>
      </c>
      <c r="M98">
        <f t="shared" si="3"/>
        <v>699.4</v>
      </c>
      <c r="N98">
        <f t="shared" si="4"/>
        <v>84.1</v>
      </c>
      <c r="O98" t="str">
        <f t="shared" si="5"/>
        <v>699.4 A</v>
      </c>
      <c r="P98" t="s">
        <v>16</v>
      </c>
      <c r="Q98" t="s">
        <v>14</v>
      </c>
      <c r="R98" t="s">
        <v>23</v>
      </c>
      <c r="S98" t="s">
        <v>43</v>
      </c>
      <c r="AE98" t="s">
        <v>14</v>
      </c>
      <c r="AF98" t="s">
        <v>42</v>
      </c>
    </row>
    <row r="99" spans="1:32" x14ac:dyDescent="0.3">
      <c r="A99">
        <v>188</v>
      </c>
      <c r="B99" t="s">
        <v>23</v>
      </c>
      <c r="C99" t="s">
        <v>18</v>
      </c>
      <c r="D99">
        <v>749.69567974999904</v>
      </c>
      <c r="E99">
        <v>84.090155509690007</v>
      </c>
      <c r="F99">
        <v>3</v>
      </c>
      <c r="G99">
        <v>482.08327503745397</v>
      </c>
      <c r="H99">
        <v>1017.30808446254</v>
      </c>
      <c r="I99" t="s">
        <v>25</v>
      </c>
      <c r="J99" t="s">
        <v>14</v>
      </c>
      <c r="K99">
        <v>665.60552424030902</v>
      </c>
      <c r="L99" t="s">
        <v>43</v>
      </c>
      <c r="M99">
        <f t="shared" si="3"/>
        <v>749.7</v>
      </c>
      <c r="N99">
        <f t="shared" si="4"/>
        <v>84.1</v>
      </c>
      <c r="O99" t="str">
        <f t="shared" si="5"/>
        <v>749.7 A</v>
      </c>
      <c r="P99" t="s">
        <v>18</v>
      </c>
      <c r="Q99" t="s">
        <v>14</v>
      </c>
      <c r="R99" t="s">
        <v>23</v>
      </c>
      <c r="S99" t="s">
        <v>43</v>
      </c>
      <c r="AE99" t="s">
        <v>14</v>
      </c>
      <c r="AF99" t="s">
        <v>42</v>
      </c>
    </row>
    <row r="100" spans="1:32" x14ac:dyDescent="0.3">
      <c r="A100">
        <v>189</v>
      </c>
      <c r="B100" t="s">
        <v>23</v>
      </c>
      <c r="C100" t="s">
        <v>20</v>
      </c>
      <c r="D100">
        <v>802.86308263749902</v>
      </c>
      <c r="E100">
        <v>84.090155509690007</v>
      </c>
      <c r="F100">
        <v>3</v>
      </c>
      <c r="G100">
        <v>535.25067792495395</v>
      </c>
      <c r="H100">
        <v>1070.4754873500401</v>
      </c>
      <c r="I100" t="s">
        <v>25</v>
      </c>
      <c r="J100" t="s">
        <v>14</v>
      </c>
      <c r="K100">
        <v>718.772927127809</v>
      </c>
      <c r="L100" t="s">
        <v>43</v>
      </c>
      <c r="M100">
        <f t="shared" si="3"/>
        <v>802.9</v>
      </c>
      <c r="N100">
        <f t="shared" si="4"/>
        <v>84.1</v>
      </c>
      <c r="O100" t="str">
        <f t="shared" si="5"/>
        <v>802.9 A</v>
      </c>
      <c r="P100" t="s">
        <v>20</v>
      </c>
      <c r="Q100" t="s">
        <v>14</v>
      </c>
      <c r="R100" t="s">
        <v>23</v>
      </c>
      <c r="S100" t="s">
        <v>43</v>
      </c>
      <c r="AE100" t="s">
        <v>14</v>
      </c>
      <c r="AF100" t="s">
        <v>42</v>
      </c>
    </row>
    <row r="101" spans="1:32" x14ac:dyDescent="0.3">
      <c r="A101">
        <v>190</v>
      </c>
      <c r="B101" t="s">
        <v>23</v>
      </c>
      <c r="C101" t="s">
        <v>21</v>
      </c>
      <c r="D101">
        <v>813.33131249999894</v>
      </c>
      <c r="E101">
        <v>84.090155509690007</v>
      </c>
      <c r="F101">
        <v>3</v>
      </c>
      <c r="G101">
        <v>545.71890778745399</v>
      </c>
      <c r="H101">
        <v>1080.9437172125399</v>
      </c>
      <c r="I101" t="s">
        <v>25</v>
      </c>
      <c r="J101" t="s">
        <v>14</v>
      </c>
      <c r="K101">
        <v>729.24115699030904</v>
      </c>
      <c r="L101" t="s">
        <v>43</v>
      </c>
      <c r="M101">
        <f t="shared" si="3"/>
        <v>813.3</v>
      </c>
      <c r="N101">
        <f t="shared" si="4"/>
        <v>84.1</v>
      </c>
      <c r="O101" t="str">
        <f t="shared" si="5"/>
        <v>813.3 A</v>
      </c>
      <c r="P101" t="s">
        <v>21</v>
      </c>
      <c r="Q101" t="s">
        <v>14</v>
      </c>
      <c r="R101" t="s">
        <v>23</v>
      </c>
      <c r="S101" t="s">
        <v>43</v>
      </c>
      <c r="AE101" t="s">
        <v>14</v>
      </c>
      <c r="AF101" t="s">
        <v>42</v>
      </c>
    </row>
    <row r="102" spans="1:32" x14ac:dyDescent="0.3">
      <c r="A102">
        <v>201</v>
      </c>
      <c r="B102" t="s">
        <v>11</v>
      </c>
      <c r="C102" t="s">
        <v>12</v>
      </c>
      <c r="D102">
        <v>25.856249999999999</v>
      </c>
      <c r="E102">
        <v>4.5313432651770498</v>
      </c>
      <c r="F102">
        <v>3</v>
      </c>
      <c r="G102">
        <v>11.435493367765099</v>
      </c>
      <c r="H102">
        <v>40.277006632234901</v>
      </c>
      <c r="I102" t="s">
        <v>17</v>
      </c>
      <c r="J102" t="s">
        <v>14</v>
      </c>
      <c r="K102">
        <v>21.3249067348229</v>
      </c>
      <c r="L102" t="s">
        <v>44</v>
      </c>
      <c r="M102">
        <f t="shared" si="3"/>
        <v>25.9</v>
      </c>
      <c r="N102">
        <f t="shared" si="4"/>
        <v>4.5</v>
      </c>
      <c r="O102" t="str">
        <f t="shared" si="5"/>
        <v>25.9 C</v>
      </c>
      <c r="P102" t="s">
        <v>12</v>
      </c>
      <c r="Q102" t="s">
        <v>14</v>
      </c>
      <c r="R102" t="s">
        <v>11</v>
      </c>
      <c r="S102" t="s">
        <v>44</v>
      </c>
      <c r="T102" t="str">
        <f>O102</f>
        <v>25.9 C</v>
      </c>
      <c r="U102" t="str">
        <f>O103</f>
        <v>60.9 AB</v>
      </c>
      <c r="V102" t="str">
        <f>O104</f>
        <v>55.1 AB</v>
      </c>
      <c r="W102" t="str">
        <f>O105</f>
        <v>52.5 B</v>
      </c>
      <c r="X102" t="str">
        <f>O106</f>
        <v>49.1 B</v>
      </c>
      <c r="Y102" t="str">
        <f>O107</f>
        <v>27.1 C</v>
      </c>
      <c r="Z102" t="str">
        <f>O108</f>
        <v>50.2 B</v>
      </c>
      <c r="AA102" t="str">
        <f>O109</f>
        <v>72.8 A</v>
      </c>
      <c r="AB102" t="str">
        <f>O110</f>
        <v>59.8 AB</v>
      </c>
      <c r="AC102" t="str">
        <f>O111</f>
        <v>64.6 AB</v>
      </c>
      <c r="AD102">
        <v>1</v>
      </c>
      <c r="AE102" t="s">
        <v>14</v>
      </c>
      <c r="AF102" t="s">
        <v>42</v>
      </c>
    </row>
    <row r="103" spans="1:32" x14ac:dyDescent="0.3">
      <c r="A103">
        <v>202</v>
      </c>
      <c r="B103" t="s">
        <v>11</v>
      </c>
      <c r="C103" t="s">
        <v>16</v>
      </c>
      <c r="D103">
        <v>60.912500000000001</v>
      </c>
      <c r="E103">
        <v>4.5313432651770498</v>
      </c>
      <c r="F103">
        <v>3</v>
      </c>
      <c r="G103">
        <v>46.491743367765103</v>
      </c>
      <c r="H103">
        <v>75.333256632234907</v>
      </c>
      <c r="I103" t="s">
        <v>24</v>
      </c>
      <c r="J103" t="s">
        <v>14</v>
      </c>
      <c r="K103">
        <v>56.381156734822902</v>
      </c>
      <c r="L103" t="s">
        <v>44</v>
      </c>
      <c r="M103">
        <f t="shared" si="3"/>
        <v>60.9</v>
      </c>
      <c r="N103">
        <f t="shared" si="4"/>
        <v>4.5</v>
      </c>
      <c r="O103" t="str">
        <f t="shared" si="5"/>
        <v>60.9 AB</v>
      </c>
      <c r="P103" t="s">
        <v>16</v>
      </c>
      <c r="Q103" t="s">
        <v>14</v>
      </c>
      <c r="R103" t="s">
        <v>11</v>
      </c>
      <c r="S103" t="s">
        <v>44</v>
      </c>
      <c r="AE103" t="s">
        <v>14</v>
      </c>
      <c r="AF103" t="s">
        <v>42</v>
      </c>
    </row>
    <row r="104" spans="1:32" x14ac:dyDescent="0.3">
      <c r="A104">
        <v>203</v>
      </c>
      <c r="B104" t="s">
        <v>11</v>
      </c>
      <c r="C104" t="s">
        <v>18</v>
      </c>
      <c r="D104">
        <v>55.097499999999997</v>
      </c>
      <c r="E104">
        <v>4.5313432651770498</v>
      </c>
      <c r="F104">
        <v>3</v>
      </c>
      <c r="G104">
        <v>40.676743367764999</v>
      </c>
      <c r="H104">
        <v>69.518256632234895</v>
      </c>
      <c r="I104" t="s">
        <v>24</v>
      </c>
      <c r="J104" t="s">
        <v>14</v>
      </c>
      <c r="K104">
        <v>50.566156734822897</v>
      </c>
      <c r="L104" t="s">
        <v>44</v>
      </c>
      <c r="M104">
        <f t="shared" si="3"/>
        <v>55.1</v>
      </c>
      <c r="N104">
        <f t="shared" si="4"/>
        <v>4.5</v>
      </c>
      <c r="O104" t="str">
        <f t="shared" si="5"/>
        <v>55.1 AB</v>
      </c>
      <c r="P104" t="s">
        <v>18</v>
      </c>
      <c r="Q104" t="s">
        <v>14</v>
      </c>
      <c r="R104" t="s">
        <v>11</v>
      </c>
      <c r="S104" t="s">
        <v>44</v>
      </c>
      <c r="AE104" t="s">
        <v>14</v>
      </c>
      <c r="AF104" t="s">
        <v>42</v>
      </c>
    </row>
    <row r="105" spans="1:32" x14ac:dyDescent="0.3">
      <c r="A105">
        <v>204</v>
      </c>
      <c r="B105" t="s">
        <v>11</v>
      </c>
      <c r="C105" t="s">
        <v>20</v>
      </c>
      <c r="D105">
        <v>52.466250000000002</v>
      </c>
      <c r="E105">
        <v>4.5313432651770498</v>
      </c>
      <c r="F105">
        <v>3</v>
      </c>
      <c r="G105">
        <v>38.045493367764998</v>
      </c>
      <c r="H105">
        <v>66.8870066322349</v>
      </c>
      <c r="I105" t="s">
        <v>28</v>
      </c>
      <c r="J105" t="s">
        <v>14</v>
      </c>
      <c r="K105">
        <v>47.934906734822903</v>
      </c>
      <c r="L105" t="s">
        <v>44</v>
      </c>
      <c r="M105">
        <f t="shared" si="3"/>
        <v>52.5</v>
      </c>
      <c r="N105">
        <f t="shared" si="4"/>
        <v>4.5</v>
      </c>
      <c r="O105" t="str">
        <f t="shared" si="5"/>
        <v>52.5 B</v>
      </c>
      <c r="P105" t="s">
        <v>20</v>
      </c>
      <c r="Q105" t="s">
        <v>14</v>
      </c>
      <c r="R105" t="s">
        <v>11</v>
      </c>
      <c r="S105" t="s">
        <v>44</v>
      </c>
      <c r="AE105" t="s">
        <v>14</v>
      </c>
      <c r="AF105" t="s">
        <v>42</v>
      </c>
    </row>
    <row r="106" spans="1:32" x14ac:dyDescent="0.3">
      <c r="A106">
        <v>205</v>
      </c>
      <c r="B106" t="s">
        <v>11</v>
      </c>
      <c r="C106" t="s">
        <v>21</v>
      </c>
      <c r="D106">
        <v>49.128749999999997</v>
      </c>
      <c r="E106">
        <v>4.5313432651770498</v>
      </c>
      <c r="F106">
        <v>3</v>
      </c>
      <c r="G106">
        <v>34.707993367765098</v>
      </c>
      <c r="H106">
        <v>63.549506632234902</v>
      </c>
      <c r="I106" t="s">
        <v>28</v>
      </c>
      <c r="J106" t="s">
        <v>14</v>
      </c>
      <c r="K106">
        <v>44.597406734822897</v>
      </c>
      <c r="L106" t="s">
        <v>44</v>
      </c>
      <c r="M106">
        <f t="shared" si="3"/>
        <v>49.1</v>
      </c>
      <c r="N106">
        <f t="shared" si="4"/>
        <v>4.5</v>
      </c>
      <c r="O106" t="str">
        <f t="shared" si="5"/>
        <v>49.1 B</v>
      </c>
      <c r="P106" t="s">
        <v>21</v>
      </c>
      <c r="Q106" t="s">
        <v>14</v>
      </c>
      <c r="R106" t="s">
        <v>11</v>
      </c>
      <c r="S106" t="s">
        <v>44</v>
      </c>
      <c r="AE106" t="s">
        <v>14</v>
      </c>
      <c r="AF106" t="s">
        <v>42</v>
      </c>
    </row>
    <row r="107" spans="1:32" x14ac:dyDescent="0.3">
      <c r="A107">
        <v>206</v>
      </c>
      <c r="B107" t="s">
        <v>23</v>
      </c>
      <c r="C107" t="s">
        <v>12</v>
      </c>
      <c r="D107">
        <v>27.111249999999998</v>
      </c>
      <c r="E107">
        <v>4.5313432651770498</v>
      </c>
      <c r="F107">
        <v>3</v>
      </c>
      <c r="G107">
        <v>12.6904933677651</v>
      </c>
      <c r="H107">
        <v>41.532006632234904</v>
      </c>
      <c r="I107" t="s">
        <v>17</v>
      </c>
      <c r="J107" t="s">
        <v>14</v>
      </c>
      <c r="K107">
        <v>22.579906734822899</v>
      </c>
      <c r="L107" t="s">
        <v>44</v>
      </c>
      <c r="M107">
        <f t="shared" si="3"/>
        <v>27.1</v>
      </c>
      <c r="N107">
        <f t="shared" si="4"/>
        <v>4.5</v>
      </c>
      <c r="O107" t="str">
        <f t="shared" si="5"/>
        <v>27.1 C</v>
      </c>
      <c r="P107" t="s">
        <v>12</v>
      </c>
      <c r="Q107" t="s">
        <v>14</v>
      </c>
      <c r="R107" t="s">
        <v>23</v>
      </c>
      <c r="S107" t="s">
        <v>44</v>
      </c>
      <c r="AE107" t="s">
        <v>14</v>
      </c>
      <c r="AF107" t="s">
        <v>43</v>
      </c>
    </row>
    <row r="108" spans="1:32" x14ac:dyDescent="0.3">
      <c r="A108">
        <v>207</v>
      </c>
      <c r="B108" t="s">
        <v>23</v>
      </c>
      <c r="C108" t="s">
        <v>16</v>
      </c>
      <c r="D108">
        <v>50.193750000000001</v>
      </c>
      <c r="E108">
        <v>4.5313432651770498</v>
      </c>
      <c r="F108">
        <v>3</v>
      </c>
      <c r="G108">
        <v>35.772993367765103</v>
      </c>
      <c r="H108">
        <v>64.614506632234907</v>
      </c>
      <c r="I108" t="s">
        <v>28</v>
      </c>
      <c r="J108" t="s">
        <v>14</v>
      </c>
      <c r="K108">
        <v>45.662406734822902</v>
      </c>
      <c r="L108" t="s">
        <v>44</v>
      </c>
      <c r="M108">
        <f t="shared" si="3"/>
        <v>50.2</v>
      </c>
      <c r="N108">
        <f t="shared" si="4"/>
        <v>4.5</v>
      </c>
      <c r="O108" t="str">
        <f t="shared" si="5"/>
        <v>50.2 B</v>
      </c>
      <c r="P108" t="s">
        <v>16</v>
      </c>
      <c r="Q108" t="s">
        <v>14</v>
      </c>
      <c r="R108" t="s">
        <v>23</v>
      </c>
      <c r="S108" t="s">
        <v>44</v>
      </c>
      <c r="AE108" t="s">
        <v>14</v>
      </c>
      <c r="AF108" t="s">
        <v>43</v>
      </c>
    </row>
    <row r="109" spans="1:32" x14ac:dyDescent="0.3">
      <c r="A109">
        <v>208</v>
      </c>
      <c r="B109" t="s">
        <v>23</v>
      </c>
      <c r="C109" t="s">
        <v>18</v>
      </c>
      <c r="D109">
        <v>72.841250000000002</v>
      </c>
      <c r="E109">
        <v>4.5313432651770498</v>
      </c>
      <c r="F109">
        <v>3</v>
      </c>
      <c r="G109">
        <v>58.420493367764998</v>
      </c>
      <c r="H109">
        <v>87.2620066322349</v>
      </c>
      <c r="I109" t="s">
        <v>25</v>
      </c>
      <c r="J109" t="s">
        <v>14</v>
      </c>
      <c r="K109">
        <v>68.309906734822903</v>
      </c>
      <c r="L109" t="s">
        <v>44</v>
      </c>
      <c r="M109">
        <f t="shared" si="3"/>
        <v>72.8</v>
      </c>
      <c r="N109">
        <f t="shared" si="4"/>
        <v>4.5</v>
      </c>
      <c r="O109" t="str">
        <f t="shared" si="5"/>
        <v>72.8 A</v>
      </c>
      <c r="P109" t="s">
        <v>18</v>
      </c>
      <c r="Q109" t="s">
        <v>14</v>
      </c>
      <c r="R109" t="s">
        <v>23</v>
      </c>
      <c r="S109" t="s">
        <v>44</v>
      </c>
      <c r="AE109" t="s">
        <v>14</v>
      </c>
      <c r="AF109" t="s">
        <v>43</v>
      </c>
    </row>
    <row r="110" spans="1:32" x14ac:dyDescent="0.3">
      <c r="A110">
        <v>209</v>
      </c>
      <c r="B110" t="s">
        <v>23</v>
      </c>
      <c r="C110" t="s">
        <v>20</v>
      </c>
      <c r="D110">
        <v>59.8</v>
      </c>
      <c r="E110">
        <v>4.5313432651770498</v>
      </c>
      <c r="F110">
        <v>3</v>
      </c>
      <c r="G110">
        <v>45.379243367765099</v>
      </c>
      <c r="H110">
        <v>74.220756632234895</v>
      </c>
      <c r="I110" t="s">
        <v>24</v>
      </c>
      <c r="J110" t="s">
        <v>14</v>
      </c>
      <c r="K110">
        <v>55.268656734822898</v>
      </c>
      <c r="L110" t="s">
        <v>44</v>
      </c>
      <c r="M110">
        <f t="shared" si="3"/>
        <v>59.8</v>
      </c>
      <c r="N110">
        <f t="shared" si="4"/>
        <v>4.5</v>
      </c>
      <c r="O110" t="str">
        <f t="shared" si="5"/>
        <v>59.8 AB</v>
      </c>
      <c r="P110" t="s">
        <v>20</v>
      </c>
      <c r="Q110" t="s">
        <v>14</v>
      </c>
      <c r="R110" t="s">
        <v>23</v>
      </c>
      <c r="S110" t="s">
        <v>44</v>
      </c>
      <c r="AE110" t="s">
        <v>14</v>
      </c>
      <c r="AF110" t="s">
        <v>43</v>
      </c>
    </row>
    <row r="111" spans="1:32" x14ac:dyDescent="0.3">
      <c r="A111">
        <v>210</v>
      </c>
      <c r="B111" t="s">
        <v>23</v>
      </c>
      <c r="C111" t="s">
        <v>21</v>
      </c>
      <c r="D111">
        <v>64.594999999999999</v>
      </c>
      <c r="E111">
        <v>4.5313432651770604</v>
      </c>
      <c r="F111">
        <v>3</v>
      </c>
      <c r="G111">
        <v>50.174243367765001</v>
      </c>
      <c r="H111">
        <v>79.015756632234897</v>
      </c>
      <c r="I111" t="s">
        <v>24</v>
      </c>
      <c r="J111" t="s">
        <v>14</v>
      </c>
      <c r="K111">
        <v>60.063656734822899</v>
      </c>
      <c r="L111" t="s">
        <v>44</v>
      </c>
      <c r="M111">
        <f t="shared" si="3"/>
        <v>64.599999999999994</v>
      </c>
      <c r="N111">
        <f t="shared" si="4"/>
        <v>4.5</v>
      </c>
      <c r="O111" t="str">
        <f t="shared" si="5"/>
        <v>64.6 AB</v>
      </c>
      <c r="P111" t="s">
        <v>21</v>
      </c>
      <c r="Q111" t="s">
        <v>14</v>
      </c>
      <c r="R111" t="s">
        <v>23</v>
      </c>
      <c r="S111" t="s">
        <v>44</v>
      </c>
      <c r="AE111" t="s">
        <v>14</v>
      </c>
      <c r="AF111" t="s">
        <v>43</v>
      </c>
    </row>
    <row r="112" spans="1:32" x14ac:dyDescent="0.3">
      <c r="A112">
        <v>221</v>
      </c>
      <c r="B112" t="s">
        <v>11</v>
      </c>
      <c r="C112" t="s">
        <v>12</v>
      </c>
      <c r="D112">
        <v>13.0053205801369</v>
      </c>
      <c r="E112">
        <v>1.61646875158281</v>
      </c>
      <c r="F112">
        <v>3</v>
      </c>
      <c r="G112">
        <v>8.7565599851664899</v>
      </c>
      <c r="H112">
        <v>19.3156175117457</v>
      </c>
      <c r="I112" t="s">
        <v>17</v>
      </c>
      <c r="J112" t="s">
        <v>14</v>
      </c>
      <c r="K112">
        <v>11.388851828554101</v>
      </c>
      <c r="L112" t="s">
        <v>45</v>
      </c>
      <c r="M112">
        <f t="shared" si="3"/>
        <v>13</v>
      </c>
      <c r="N112">
        <f t="shared" si="4"/>
        <v>1.6</v>
      </c>
      <c r="O112" t="str">
        <f t="shared" si="5"/>
        <v>13 C</v>
      </c>
      <c r="P112" t="s">
        <v>12</v>
      </c>
      <c r="Q112" t="s">
        <v>14</v>
      </c>
      <c r="R112" t="s">
        <v>11</v>
      </c>
      <c r="S112" t="s">
        <v>45</v>
      </c>
      <c r="T112" t="str">
        <f>O112</f>
        <v>13 C</v>
      </c>
      <c r="U112" t="str">
        <f>O113</f>
        <v>31.9 AB</v>
      </c>
      <c r="V112" t="str">
        <f>O114</f>
        <v>21.6 BC</v>
      </c>
      <c r="W112" t="str">
        <f>O115</f>
        <v>25.4 AB</v>
      </c>
      <c r="X112" t="str">
        <f>O116</f>
        <v>23.3 B</v>
      </c>
      <c r="Y112" t="str">
        <f>O117</f>
        <v>12.7 C</v>
      </c>
      <c r="Z112" t="str">
        <f>O118</f>
        <v>44.3 A</v>
      </c>
      <c r="AA112" t="str">
        <f>O119</f>
        <v>24.1 B</v>
      </c>
      <c r="AB112" t="str">
        <f>O120</f>
        <v>31.5 AB</v>
      </c>
      <c r="AC112" t="str">
        <f>O121</f>
        <v>26.9 AB</v>
      </c>
      <c r="AD112">
        <v>1</v>
      </c>
      <c r="AE112" t="s">
        <v>14</v>
      </c>
      <c r="AF112" t="s">
        <v>43</v>
      </c>
    </row>
    <row r="113" spans="1:32" x14ac:dyDescent="0.3">
      <c r="A113">
        <v>222</v>
      </c>
      <c r="B113" t="s">
        <v>11</v>
      </c>
      <c r="C113" t="s">
        <v>16</v>
      </c>
      <c r="D113">
        <v>31.879144056423002</v>
      </c>
      <c r="E113">
        <v>3.96235063002745</v>
      </c>
      <c r="F113">
        <v>3</v>
      </c>
      <c r="G113">
        <v>21.4644180038269</v>
      </c>
      <c r="H113">
        <v>47.347187591528296</v>
      </c>
      <c r="I113" t="s">
        <v>24</v>
      </c>
      <c r="J113" t="s">
        <v>14</v>
      </c>
      <c r="K113">
        <v>27.9167934263956</v>
      </c>
      <c r="L113" t="s">
        <v>45</v>
      </c>
      <c r="M113">
        <f t="shared" si="3"/>
        <v>31.9</v>
      </c>
      <c r="N113">
        <f t="shared" si="4"/>
        <v>4</v>
      </c>
      <c r="O113" t="str">
        <f t="shared" si="5"/>
        <v>31.9 AB</v>
      </c>
      <c r="P113" t="s">
        <v>16</v>
      </c>
      <c r="Q113" t="s">
        <v>14</v>
      </c>
      <c r="R113" t="s">
        <v>11</v>
      </c>
      <c r="S113" t="s">
        <v>45</v>
      </c>
      <c r="AE113" t="s">
        <v>14</v>
      </c>
      <c r="AF113" t="s">
        <v>43</v>
      </c>
    </row>
    <row r="114" spans="1:32" x14ac:dyDescent="0.3">
      <c r="A114">
        <v>223</v>
      </c>
      <c r="B114" t="s">
        <v>11</v>
      </c>
      <c r="C114" t="s">
        <v>18</v>
      </c>
      <c r="D114">
        <v>21.6380347704436</v>
      </c>
      <c r="E114">
        <v>2.6894536614118598</v>
      </c>
      <c r="F114">
        <v>3</v>
      </c>
      <c r="G114">
        <v>14.569017984677201</v>
      </c>
      <c r="H114">
        <v>32.137001218569097</v>
      </c>
      <c r="I114" t="s">
        <v>19</v>
      </c>
      <c r="J114" t="s">
        <v>14</v>
      </c>
      <c r="K114">
        <v>18.9485811090317</v>
      </c>
      <c r="L114" t="s">
        <v>45</v>
      </c>
      <c r="M114">
        <f t="shared" si="3"/>
        <v>21.6</v>
      </c>
      <c r="N114">
        <f t="shared" si="4"/>
        <v>2.7</v>
      </c>
      <c r="O114" t="str">
        <f t="shared" si="5"/>
        <v>21.6 BC</v>
      </c>
      <c r="P114" t="s">
        <v>18</v>
      </c>
      <c r="Q114" t="s">
        <v>14</v>
      </c>
      <c r="R114" t="s">
        <v>11</v>
      </c>
      <c r="S114" t="s">
        <v>45</v>
      </c>
      <c r="AE114" t="s">
        <v>14</v>
      </c>
      <c r="AF114" t="s">
        <v>43</v>
      </c>
    </row>
    <row r="115" spans="1:32" x14ac:dyDescent="0.3">
      <c r="A115">
        <v>224</v>
      </c>
      <c r="B115" t="s">
        <v>11</v>
      </c>
      <c r="C115" t="s">
        <v>20</v>
      </c>
      <c r="D115">
        <v>25.400808432686699</v>
      </c>
      <c r="E115">
        <v>3.1571396370720501</v>
      </c>
      <c r="F115">
        <v>3</v>
      </c>
      <c r="G115">
        <v>17.102515954297399</v>
      </c>
      <c r="H115">
        <v>37.725506045906002</v>
      </c>
      <c r="I115" t="s">
        <v>24</v>
      </c>
      <c r="J115" t="s">
        <v>14</v>
      </c>
      <c r="K115">
        <v>22.243668795614699</v>
      </c>
      <c r="L115" t="s">
        <v>45</v>
      </c>
      <c r="M115">
        <f t="shared" si="3"/>
        <v>25.4</v>
      </c>
      <c r="N115">
        <f t="shared" si="4"/>
        <v>3.2</v>
      </c>
      <c r="O115" t="str">
        <f t="shared" si="5"/>
        <v>25.4 AB</v>
      </c>
      <c r="P115" t="s">
        <v>20</v>
      </c>
      <c r="Q115" t="s">
        <v>14</v>
      </c>
      <c r="R115" t="s">
        <v>11</v>
      </c>
      <c r="S115" t="s">
        <v>45</v>
      </c>
      <c r="AE115" t="s">
        <v>14</v>
      </c>
      <c r="AF115" t="s">
        <v>43</v>
      </c>
    </row>
    <row r="116" spans="1:32" x14ac:dyDescent="0.3">
      <c r="A116">
        <v>225</v>
      </c>
      <c r="B116" t="s">
        <v>11</v>
      </c>
      <c r="C116" t="s">
        <v>21</v>
      </c>
      <c r="D116">
        <v>23.324865797561301</v>
      </c>
      <c r="E116">
        <v>2.8991147480213399</v>
      </c>
      <c r="F116">
        <v>3</v>
      </c>
      <c r="G116">
        <v>15.704771385201299</v>
      </c>
      <c r="H116">
        <v>34.642297625988199</v>
      </c>
      <c r="I116" t="s">
        <v>28</v>
      </c>
      <c r="J116" t="s">
        <v>14</v>
      </c>
      <c r="K116">
        <v>20.425751049539901</v>
      </c>
      <c r="L116" t="s">
        <v>45</v>
      </c>
      <c r="M116">
        <f t="shared" si="3"/>
        <v>23.3</v>
      </c>
      <c r="N116">
        <f t="shared" si="4"/>
        <v>2.9</v>
      </c>
      <c r="O116" t="str">
        <f t="shared" si="5"/>
        <v>23.3 B</v>
      </c>
      <c r="P116" t="s">
        <v>21</v>
      </c>
      <c r="Q116" t="s">
        <v>14</v>
      </c>
      <c r="R116" t="s">
        <v>11</v>
      </c>
      <c r="S116" t="s">
        <v>45</v>
      </c>
      <c r="AE116" t="s">
        <v>14</v>
      </c>
      <c r="AF116" t="s">
        <v>44</v>
      </c>
    </row>
    <row r="117" spans="1:32" x14ac:dyDescent="0.3">
      <c r="A117">
        <v>226</v>
      </c>
      <c r="B117" t="s">
        <v>23</v>
      </c>
      <c r="C117" t="s">
        <v>12</v>
      </c>
      <c r="D117">
        <v>12.7106088843097</v>
      </c>
      <c r="E117">
        <v>1.5798381861080599</v>
      </c>
      <c r="F117">
        <v>3</v>
      </c>
      <c r="G117">
        <v>8.5581288410097507</v>
      </c>
      <c r="H117">
        <v>18.877909086354599</v>
      </c>
      <c r="I117" t="s">
        <v>17</v>
      </c>
      <c r="J117" t="s">
        <v>14</v>
      </c>
      <c r="K117">
        <v>11.1307706982016</v>
      </c>
      <c r="L117" t="s">
        <v>45</v>
      </c>
      <c r="M117">
        <f t="shared" si="3"/>
        <v>12.7</v>
      </c>
      <c r="N117">
        <f t="shared" si="4"/>
        <v>1.6</v>
      </c>
      <c r="O117" t="str">
        <f t="shared" si="5"/>
        <v>12.7 C</v>
      </c>
      <c r="P117" t="s">
        <v>12</v>
      </c>
      <c r="Q117" t="s">
        <v>14</v>
      </c>
      <c r="R117" t="s">
        <v>23</v>
      </c>
      <c r="S117" t="s">
        <v>45</v>
      </c>
      <c r="AE117" t="s">
        <v>14</v>
      </c>
      <c r="AF117" t="s">
        <v>44</v>
      </c>
    </row>
    <row r="118" spans="1:32" x14ac:dyDescent="0.3">
      <c r="A118">
        <v>227</v>
      </c>
      <c r="B118" t="s">
        <v>23</v>
      </c>
      <c r="C118" t="s">
        <v>16</v>
      </c>
      <c r="D118">
        <v>44.254379506621198</v>
      </c>
      <c r="E118">
        <v>5.5005042860993898</v>
      </c>
      <c r="F118">
        <v>3</v>
      </c>
      <c r="G118">
        <v>29.796737909552601</v>
      </c>
      <c r="H118">
        <v>65.726997078032198</v>
      </c>
      <c r="I118" t="s">
        <v>25</v>
      </c>
      <c r="J118" t="s">
        <v>14</v>
      </c>
      <c r="K118">
        <v>38.753875220521799</v>
      </c>
      <c r="L118" t="s">
        <v>45</v>
      </c>
      <c r="M118">
        <f t="shared" si="3"/>
        <v>44.3</v>
      </c>
      <c r="N118">
        <f t="shared" si="4"/>
        <v>5.5</v>
      </c>
      <c r="O118" t="str">
        <f t="shared" si="5"/>
        <v>44.3 A</v>
      </c>
      <c r="P118" t="s">
        <v>16</v>
      </c>
      <c r="Q118" t="s">
        <v>14</v>
      </c>
      <c r="R118" t="s">
        <v>23</v>
      </c>
      <c r="S118" t="s">
        <v>45</v>
      </c>
      <c r="AE118" t="s">
        <v>14</v>
      </c>
      <c r="AF118" t="s">
        <v>44</v>
      </c>
    </row>
    <row r="119" spans="1:32" x14ac:dyDescent="0.3">
      <c r="A119">
        <v>228</v>
      </c>
      <c r="B119" t="s">
        <v>23</v>
      </c>
      <c r="C119" t="s">
        <v>18</v>
      </c>
      <c r="D119">
        <v>24.0537433462212</v>
      </c>
      <c r="E119">
        <v>2.9897090377875202</v>
      </c>
      <c r="F119">
        <v>3</v>
      </c>
      <c r="G119">
        <v>16.195528989933401</v>
      </c>
      <c r="H119">
        <v>35.724833028023298</v>
      </c>
      <c r="I119" t="s">
        <v>28</v>
      </c>
      <c r="J119" t="s">
        <v>14</v>
      </c>
      <c r="K119">
        <v>21.064034308433701</v>
      </c>
      <c r="L119" t="s">
        <v>45</v>
      </c>
      <c r="M119">
        <f t="shared" si="3"/>
        <v>24.1</v>
      </c>
      <c r="N119">
        <f t="shared" si="4"/>
        <v>3</v>
      </c>
      <c r="O119" t="str">
        <f t="shared" si="5"/>
        <v>24.1 B</v>
      </c>
      <c r="P119" t="s">
        <v>18</v>
      </c>
      <c r="Q119" t="s">
        <v>14</v>
      </c>
      <c r="R119" t="s">
        <v>23</v>
      </c>
      <c r="S119" t="s">
        <v>45</v>
      </c>
      <c r="AE119" t="s">
        <v>14</v>
      </c>
      <c r="AF119" t="s">
        <v>44</v>
      </c>
    </row>
    <row r="120" spans="1:32" x14ac:dyDescent="0.3">
      <c r="A120">
        <v>229</v>
      </c>
      <c r="B120" t="s">
        <v>23</v>
      </c>
      <c r="C120" t="s">
        <v>20</v>
      </c>
      <c r="D120">
        <v>31.457012707980599</v>
      </c>
      <c r="E120">
        <v>3.9098827089473001</v>
      </c>
      <c r="F120">
        <v>3</v>
      </c>
      <c r="G120">
        <v>21.180194446900501</v>
      </c>
      <c r="H120">
        <v>46.720234367577497</v>
      </c>
      <c r="I120" t="s">
        <v>24</v>
      </c>
      <c r="J120" t="s">
        <v>14</v>
      </c>
      <c r="K120">
        <v>27.547129999033299</v>
      </c>
      <c r="L120" t="s">
        <v>45</v>
      </c>
      <c r="M120">
        <f t="shared" si="3"/>
        <v>31.5</v>
      </c>
      <c r="N120">
        <f t="shared" si="4"/>
        <v>3.9</v>
      </c>
      <c r="O120" t="str">
        <f t="shared" si="5"/>
        <v>31.5 AB</v>
      </c>
      <c r="P120" t="s">
        <v>20</v>
      </c>
      <c r="Q120" t="s">
        <v>14</v>
      </c>
      <c r="R120" t="s">
        <v>23</v>
      </c>
      <c r="S120" t="s">
        <v>45</v>
      </c>
      <c r="AE120" t="s">
        <v>14</v>
      </c>
      <c r="AF120" t="s">
        <v>44</v>
      </c>
    </row>
    <row r="121" spans="1:32" x14ac:dyDescent="0.3">
      <c r="A121">
        <v>230</v>
      </c>
      <c r="B121" t="s">
        <v>23</v>
      </c>
      <c r="C121" t="s">
        <v>21</v>
      </c>
      <c r="D121">
        <v>26.9463723987649</v>
      </c>
      <c r="E121">
        <v>3.3492422338010699</v>
      </c>
      <c r="F121">
        <v>3</v>
      </c>
      <c r="G121">
        <v>18.143153399294</v>
      </c>
      <c r="H121">
        <v>40.020991360916</v>
      </c>
      <c r="I121" t="s">
        <v>24</v>
      </c>
      <c r="J121" t="s">
        <v>14</v>
      </c>
      <c r="K121">
        <v>23.597130164963801</v>
      </c>
      <c r="L121" t="s">
        <v>45</v>
      </c>
      <c r="M121">
        <f t="shared" si="3"/>
        <v>26.9</v>
      </c>
      <c r="N121">
        <f t="shared" si="4"/>
        <v>3.3</v>
      </c>
      <c r="O121" t="str">
        <f t="shared" si="5"/>
        <v>26.9 AB</v>
      </c>
      <c r="P121" t="s">
        <v>21</v>
      </c>
      <c r="Q121" t="s">
        <v>14</v>
      </c>
      <c r="R121" t="s">
        <v>23</v>
      </c>
      <c r="S121" t="s">
        <v>45</v>
      </c>
      <c r="AE121" t="s">
        <v>14</v>
      </c>
      <c r="AF121" t="s">
        <v>44</v>
      </c>
    </row>
    <row r="122" spans="1:32" x14ac:dyDescent="0.3">
      <c r="A122">
        <v>11</v>
      </c>
      <c r="B122" t="s">
        <v>11</v>
      </c>
      <c r="C122" t="s">
        <v>12</v>
      </c>
      <c r="D122">
        <v>10.8137768003433</v>
      </c>
      <c r="E122">
        <v>0.115418546445232</v>
      </c>
      <c r="F122">
        <v>3</v>
      </c>
      <c r="G122">
        <v>10.452631732931801</v>
      </c>
      <c r="H122">
        <v>11.1873996592861</v>
      </c>
      <c r="I122" t="s">
        <v>13</v>
      </c>
      <c r="J122" t="s">
        <v>26</v>
      </c>
      <c r="K122">
        <v>10.6983582538981</v>
      </c>
      <c r="L122" t="s">
        <v>15</v>
      </c>
      <c r="M122">
        <f t="shared" si="3"/>
        <v>10.8</v>
      </c>
      <c r="N122">
        <f t="shared" si="4"/>
        <v>0.1</v>
      </c>
      <c r="O122" t="str">
        <f t="shared" si="5"/>
        <v>10.8 D</v>
      </c>
      <c r="P122" t="s">
        <v>12</v>
      </c>
      <c r="Q122" t="s">
        <v>26</v>
      </c>
      <c r="R122" t="s">
        <v>11</v>
      </c>
      <c r="S122" t="s">
        <v>15</v>
      </c>
      <c r="T122" t="str">
        <f>O122</f>
        <v>10.8 D</v>
      </c>
      <c r="U122" t="str">
        <f>O123</f>
        <v>13.2 C</v>
      </c>
      <c r="V122" t="str">
        <f>O124</f>
        <v>13.6 ABC</v>
      </c>
      <c r="W122" t="str">
        <f>O125</f>
        <v>13.3 BC</v>
      </c>
      <c r="X122" t="str">
        <f>O126</f>
        <v>13.9 AB</v>
      </c>
      <c r="Y122" t="str">
        <f>O127</f>
        <v>10.8 D</v>
      </c>
      <c r="Z122" t="str">
        <f>O128</f>
        <v>13.6 ABC</v>
      </c>
      <c r="AA122" t="str">
        <f>O129</f>
        <v>14 A</v>
      </c>
      <c r="AB122" t="str">
        <f>O130</f>
        <v>13.6 ABC</v>
      </c>
      <c r="AC122" t="str">
        <f>O131</f>
        <v>13.9 AB</v>
      </c>
      <c r="AD122">
        <v>1</v>
      </c>
      <c r="AE122" t="s">
        <v>14</v>
      </c>
      <c r="AF122" t="s">
        <v>44</v>
      </c>
    </row>
    <row r="123" spans="1:32" x14ac:dyDescent="0.3">
      <c r="A123">
        <v>12</v>
      </c>
      <c r="B123" t="s">
        <v>11</v>
      </c>
      <c r="C123" t="s">
        <v>16</v>
      </c>
      <c r="D123">
        <v>13.162602995901899</v>
      </c>
      <c r="E123">
        <v>0.140488243217155</v>
      </c>
      <c r="F123">
        <v>3</v>
      </c>
      <c r="G123">
        <v>12.7230147526791</v>
      </c>
      <c r="H123">
        <v>13.6173792922188</v>
      </c>
      <c r="I123" t="s">
        <v>17</v>
      </c>
      <c r="J123" t="s">
        <v>26</v>
      </c>
      <c r="K123">
        <v>13.0221147526848</v>
      </c>
      <c r="L123" t="s">
        <v>15</v>
      </c>
      <c r="M123">
        <f t="shared" si="3"/>
        <v>13.2</v>
      </c>
      <c r="N123">
        <f t="shared" si="4"/>
        <v>0.1</v>
      </c>
      <c r="O123" t="str">
        <f t="shared" si="5"/>
        <v>13.2 C</v>
      </c>
      <c r="P123" t="s">
        <v>16</v>
      </c>
      <c r="Q123" t="s">
        <v>26</v>
      </c>
      <c r="R123" t="s">
        <v>11</v>
      </c>
      <c r="S123" t="s">
        <v>15</v>
      </c>
      <c r="AE123" t="s">
        <v>14</v>
      </c>
      <c r="AF123" t="s">
        <v>44</v>
      </c>
    </row>
    <row r="124" spans="1:32" x14ac:dyDescent="0.3">
      <c r="A124">
        <v>13</v>
      </c>
      <c r="B124" t="s">
        <v>11</v>
      </c>
      <c r="C124" t="s">
        <v>18</v>
      </c>
      <c r="D124">
        <v>13.6019517056636</v>
      </c>
      <c r="E124">
        <v>0.14517753821551899</v>
      </c>
      <c r="F124">
        <v>3</v>
      </c>
      <c r="G124">
        <v>13.1476906406937</v>
      </c>
      <c r="H124">
        <v>14.071907779041201</v>
      </c>
      <c r="I124" t="s">
        <v>22</v>
      </c>
      <c r="J124" t="s">
        <v>26</v>
      </c>
      <c r="K124">
        <v>13.456774167448</v>
      </c>
      <c r="L124" t="s">
        <v>15</v>
      </c>
      <c r="M124">
        <f t="shared" si="3"/>
        <v>13.6</v>
      </c>
      <c r="N124">
        <f t="shared" si="4"/>
        <v>0.1</v>
      </c>
      <c r="O124" t="str">
        <f t="shared" si="5"/>
        <v>13.6 ABC</v>
      </c>
      <c r="P124" t="s">
        <v>18</v>
      </c>
      <c r="Q124" t="s">
        <v>26</v>
      </c>
      <c r="R124" t="s">
        <v>11</v>
      </c>
      <c r="S124" t="s">
        <v>15</v>
      </c>
      <c r="AE124" t="s">
        <v>14</v>
      </c>
      <c r="AF124" t="s">
        <v>44</v>
      </c>
    </row>
    <row r="125" spans="1:32" x14ac:dyDescent="0.3">
      <c r="A125">
        <v>14</v>
      </c>
      <c r="B125" t="s">
        <v>11</v>
      </c>
      <c r="C125" t="s">
        <v>20</v>
      </c>
      <c r="D125">
        <v>13.319610879999599</v>
      </c>
      <c r="E125">
        <v>0.142164033470419</v>
      </c>
      <c r="F125">
        <v>3</v>
      </c>
      <c r="G125">
        <v>12.8747790827499</v>
      </c>
      <c r="H125">
        <v>13.779811898466299</v>
      </c>
      <c r="I125" t="s">
        <v>19</v>
      </c>
      <c r="J125" t="s">
        <v>26</v>
      </c>
      <c r="K125">
        <v>13.177446846529101</v>
      </c>
      <c r="L125" t="s">
        <v>15</v>
      </c>
      <c r="M125">
        <f t="shared" si="3"/>
        <v>13.3</v>
      </c>
      <c r="N125">
        <f t="shared" si="4"/>
        <v>0.1</v>
      </c>
      <c r="O125" t="str">
        <f t="shared" si="5"/>
        <v>13.3 BC</v>
      </c>
      <c r="P125" t="s">
        <v>20</v>
      </c>
      <c r="Q125" t="s">
        <v>26</v>
      </c>
      <c r="R125" t="s">
        <v>11</v>
      </c>
      <c r="S125" t="s">
        <v>15</v>
      </c>
      <c r="AE125" t="s">
        <v>14</v>
      </c>
      <c r="AF125" t="s">
        <v>45</v>
      </c>
    </row>
    <row r="126" spans="1:32" x14ac:dyDescent="0.3">
      <c r="A126">
        <v>15</v>
      </c>
      <c r="B126" t="s">
        <v>11</v>
      </c>
      <c r="C126" t="s">
        <v>21</v>
      </c>
      <c r="D126">
        <v>13.9445840683347</v>
      </c>
      <c r="E126">
        <v>0.14883455185605701</v>
      </c>
      <c r="F126">
        <v>3</v>
      </c>
      <c r="G126">
        <v>13.4788801938821</v>
      </c>
      <c r="H126">
        <v>14.426378307532699</v>
      </c>
      <c r="I126" t="s">
        <v>24</v>
      </c>
      <c r="J126" t="s">
        <v>26</v>
      </c>
      <c r="K126">
        <v>13.795749516478599</v>
      </c>
      <c r="L126" t="s">
        <v>15</v>
      </c>
      <c r="M126">
        <f t="shared" si="3"/>
        <v>13.9</v>
      </c>
      <c r="N126">
        <f t="shared" si="4"/>
        <v>0.1</v>
      </c>
      <c r="O126" t="str">
        <f t="shared" si="5"/>
        <v>13.9 AB</v>
      </c>
      <c r="P126" t="s">
        <v>21</v>
      </c>
      <c r="Q126" t="s">
        <v>26</v>
      </c>
      <c r="R126" t="s">
        <v>11</v>
      </c>
      <c r="S126" t="s">
        <v>15</v>
      </c>
      <c r="AE126" t="s">
        <v>14</v>
      </c>
      <c r="AF126" t="s">
        <v>45</v>
      </c>
    </row>
    <row r="127" spans="1:32" x14ac:dyDescent="0.3">
      <c r="A127">
        <v>16</v>
      </c>
      <c r="B127" t="s">
        <v>23</v>
      </c>
      <c r="C127" t="s">
        <v>12</v>
      </c>
      <c r="D127">
        <v>10.7817699234805</v>
      </c>
      <c r="E127">
        <v>0.11507692785332201</v>
      </c>
      <c r="F127">
        <v>3</v>
      </c>
      <c r="G127">
        <v>10.4216937819322</v>
      </c>
      <c r="H127">
        <v>11.1542869244921</v>
      </c>
      <c r="I127" t="s">
        <v>13</v>
      </c>
      <c r="J127" t="s">
        <v>26</v>
      </c>
      <c r="K127">
        <v>10.6666929956271</v>
      </c>
      <c r="L127" t="s">
        <v>15</v>
      </c>
      <c r="M127">
        <f t="shared" si="3"/>
        <v>10.8</v>
      </c>
      <c r="N127">
        <f t="shared" si="4"/>
        <v>0.1</v>
      </c>
      <c r="O127" t="str">
        <f t="shared" si="5"/>
        <v>10.8 D</v>
      </c>
      <c r="P127" t="s">
        <v>12</v>
      </c>
      <c r="Q127" t="s">
        <v>26</v>
      </c>
      <c r="R127" t="s">
        <v>23</v>
      </c>
      <c r="S127" t="s">
        <v>15</v>
      </c>
      <c r="AE127" t="s">
        <v>14</v>
      </c>
      <c r="AF127" t="s">
        <v>45</v>
      </c>
    </row>
    <row r="128" spans="1:32" x14ac:dyDescent="0.3">
      <c r="A128">
        <v>17</v>
      </c>
      <c r="B128" t="s">
        <v>23</v>
      </c>
      <c r="C128" t="s">
        <v>16</v>
      </c>
      <c r="D128">
        <v>13.550537283297601</v>
      </c>
      <c r="E128">
        <v>0.14462877731492299</v>
      </c>
      <c r="F128">
        <v>3</v>
      </c>
      <c r="G128">
        <v>13.0979932932567</v>
      </c>
      <c r="H128">
        <v>14.018716955716499</v>
      </c>
      <c r="I128" t="s">
        <v>22</v>
      </c>
      <c r="J128" t="s">
        <v>26</v>
      </c>
      <c r="K128">
        <v>13.405908505982699</v>
      </c>
      <c r="L128" t="s">
        <v>15</v>
      </c>
      <c r="M128">
        <f t="shared" si="3"/>
        <v>13.6</v>
      </c>
      <c r="N128">
        <f t="shared" si="4"/>
        <v>0.1</v>
      </c>
      <c r="O128" t="str">
        <f t="shared" si="5"/>
        <v>13.6 ABC</v>
      </c>
      <c r="P128" t="s">
        <v>16</v>
      </c>
      <c r="Q128" t="s">
        <v>26</v>
      </c>
      <c r="R128" t="s">
        <v>23</v>
      </c>
      <c r="S128" t="s">
        <v>15</v>
      </c>
      <c r="AE128" t="s">
        <v>14</v>
      </c>
      <c r="AF128" t="s">
        <v>45</v>
      </c>
    </row>
    <row r="129" spans="1:32" x14ac:dyDescent="0.3">
      <c r="A129">
        <v>18</v>
      </c>
      <c r="B129" t="s">
        <v>23</v>
      </c>
      <c r="C129" t="s">
        <v>18</v>
      </c>
      <c r="D129">
        <v>14.040319783560999</v>
      </c>
      <c r="E129">
        <v>0.14985636664827301</v>
      </c>
      <c r="F129">
        <v>3</v>
      </c>
      <c r="G129">
        <v>13.571418646767301</v>
      </c>
      <c r="H129">
        <v>14.5254217525454</v>
      </c>
      <c r="I129" t="s">
        <v>25</v>
      </c>
      <c r="J129" t="s">
        <v>26</v>
      </c>
      <c r="K129">
        <v>13.8904634169127</v>
      </c>
      <c r="L129" t="s">
        <v>15</v>
      </c>
      <c r="M129">
        <f t="shared" si="3"/>
        <v>14</v>
      </c>
      <c r="N129">
        <f t="shared" si="4"/>
        <v>0.1</v>
      </c>
      <c r="O129" t="str">
        <f t="shared" si="5"/>
        <v>14 A</v>
      </c>
      <c r="P129" t="s">
        <v>18</v>
      </c>
      <c r="Q129" t="s">
        <v>26</v>
      </c>
      <c r="R129" t="s">
        <v>23</v>
      </c>
      <c r="S129" t="s">
        <v>15</v>
      </c>
      <c r="AE129" t="s">
        <v>14</v>
      </c>
      <c r="AF129" t="s">
        <v>45</v>
      </c>
    </row>
    <row r="130" spans="1:32" x14ac:dyDescent="0.3">
      <c r="A130">
        <v>19</v>
      </c>
      <c r="B130" t="s">
        <v>23</v>
      </c>
      <c r="C130" t="s">
        <v>20</v>
      </c>
      <c r="D130">
        <v>13.551970475682101</v>
      </c>
      <c r="E130">
        <v>0.14464407418898001</v>
      </c>
      <c r="F130">
        <v>3</v>
      </c>
      <c r="G130">
        <v>13.099378621664499</v>
      </c>
      <c r="H130">
        <v>14.0201996658085</v>
      </c>
      <c r="I130" t="s">
        <v>22</v>
      </c>
      <c r="J130" t="s">
        <v>26</v>
      </c>
      <c r="K130">
        <v>13.4073264014931</v>
      </c>
      <c r="L130" t="s">
        <v>15</v>
      </c>
      <c r="M130">
        <f t="shared" si="3"/>
        <v>13.6</v>
      </c>
      <c r="N130">
        <f t="shared" si="4"/>
        <v>0.1</v>
      </c>
      <c r="O130" t="str">
        <f t="shared" si="5"/>
        <v>13.6 ABC</v>
      </c>
      <c r="P130" t="s">
        <v>20</v>
      </c>
      <c r="Q130" t="s">
        <v>26</v>
      </c>
      <c r="R130" t="s">
        <v>23</v>
      </c>
      <c r="S130" t="s">
        <v>15</v>
      </c>
      <c r="AE130" t="s">
        <v>14</v>
      </c>
      <c r="AF130" t="s">
        <v>45</v>
      </c>
    </row>
    <row r="131" spans="1:32" x14ac:dyDescent="0.3">
      <c r="A131">
        <v>20</v>
      </c>
      <c r="B131" t="s">
        <v>23</v>
      </c>
      <c r="C131" t="s">
        <v>21</v>
      </c>
      <c r="D131">
        <v>13.889241180880401</v>
      </c>
      <c r="E131">
        <v>0.14824386131897699</v>
      </c>
      <c r="F131">
        <v>3</v>
      </c>
      <c r="G131">
        <v>13.4253855793476</v>
      </c>
      <c r="H131">
        <v>14.369123288155</v>
      </c>
      <c r="I131" t="s">
        <v>24</v>
      </c>
      <c r="J131" t="s">
        <v>26</v>
      </c>
      <c r="K131">
        <v>13.7409973195614</v>
      </c>
      <c r="L131" t="s">
        <v>15</v>
      </c>
      <c r="M131">
        <f t="shared" ref="M131:M194" si="6">ROUND(D131,1)</f>
        <v>13.9</v>
      </c>
      <c r="N131">
        <f t="shared" ref="N131:N194" si="7">ROUND(E131,1)</f>
        <v>0.1</v>
      </c>
      <c r="O131" t="str">
        <f t="shared" ref="O131:O194" si="8">CONCATENATE(M131," ",I131)</f>
        <v>13.9 AB</v>
      </c>
      <c r="P131" t="s">
        <v>21</v>
      </c>
      <c r="Q131" t="s">
        <v>26</v>
      </c>
      <c r="R131" t="s">
        <v>23</v>
      </c>
      <c r="S131" t="s">
        <v>15</v>
      </c>
      <c r="AE131" t="s">
        <v>14</v>
      </c>
      <c r="AF131" t="s">
        <v>45</v>
      </c>
    </row>
    <row r="132" spans="1:32" x14ac:dyDescent="0.3">
      <c r="A132">
        <v>31</v>
      </c>
      <c r="B132" t="s">
        <v>11</v>
      </c>
      <c r="C132" t="s">
        <v>12</v>
      </c>
      <c r="D132">
        <v>1.1312500000000001</v>
      </c>
      <c r="E132">
        <v>1.30738179481979E-2</v>
      </c>
      <c r="F132">
        <v>3</v>
      </c>
      <c r="G132">
        <v>1.0896432763748101</v>
      </c>
      <c r="H132">
        <v>1.1728567236251899</v>
      </c>
      <c r="I132" t="s">
        <v>13</v>
      </c>
      <c r="J132" t="s">
        <v>26</v>
      </c>
      <c r="K132">
        <v>1.1181761820517999</v>
      </c>
      <c r="L132" t="s">
        <v>27</v>
      </c>
      <c r="M132">
        <f t="shared" si="6"/>
        <v>1.1000000000000001</v>
      </c>
      <c r="N132">
        <f t="shared" si="7"/>
        <v>0</v>
      </c>
      <c r="O132" t="str">
        <f t="shared" si="8"/>
        <v>1.1 D</v>
      </c>
      <c r="P132" t="s">
        <v>12</v>
      </c>
      <c r="Q132" t="s">
        <v>26</v>
      </c>
      <c r="R132" t="s">
        <v>11</v>
      </c>
      <c r="S132" t="s">
        <v>27</v>
      </c>
      <c r="T132" t="str">
        <f>O132</f>
        <v>1.1 D</v>
      </c>
      <c r="U132" t="str">
        <f>O133</f>
        <v>1.5 C</v>
      </c>
      <c r="V132" t="str">
        <f>O134</f>
        <v>1.9 A</v>
      </c>
      <c r="W132" t="str">
        <f>O135</f>
        <v>1.7 B</v>
      </c>
      <c r="X132" t="str">
        <f>O136</f>
        <v>1.9 A</v>
      </c>
      <c r="Y132" t="str">
        <f>O137</f>
        <v>1.1 D</v>
      </c>
      <c r="Z132" t="str">
        <f>O138</f>
        <v>1.5 C</v>
      </c>
      <c r="AA132" t="str">
        <f>O139</f>
        <v>1.9 A</v>
      </c>
      <c r="AB132" t="str">
        <f>O140</f>
        <v>1.7 B</v>
      </c>
      <c r="AC132" t="str">
        <f>O141</f>
        <v>1.8 A</v>
      </c>
      <c r="AD132">
        <v>1</v>
      </c>
      <c r="AE132" t="s">
        <v>14</v>
      </c>
      <c r="AF132" t="s">
        <v>45</v>
      </c>
    </row>
    <row r="133" spans="1:32" x14ac:dyDescent="0.3">
      <c r="A133">
        <v>32</v>
      </c>
      <c r="B133" t="s">
        <v>11</v>
      </c>
      <c r="C133" t="s">
        <v>16</v>
      </c>
      <c r="D133">
        <v>1.5249999999999999</v>
      </c>
      <c r="E133">
        <v>1.30738179481979E-2</v>
      </c>
      <c r="F133">
        <v>3</v>
      </c>
      <c r="G133">
        <v>1.4833932763748101</v>
      </c>
      <c r="H133">
        <v>1.5666067236251899</v>
      </c>
      <c r="I133" t="s">
        <v>17</v>
      </c>
      <c r="J133" t="s">
        <v>26</v>
      </c>
      <c r="K133">
        <v>1.5119261820518</v>
      </c>
      <c r="L133" t="s">
        <v>27</v>
      </c>
      <c r="M133">
        <f t="shared" si="6"/>
        <v>1.5</v>
      </c>
      <c r="N133">
        <f t="shared" si="7"/>
        <v>0</v>
      </c>
      <c r="O133" t="str">
        <f t="shared" si="8"/>
        <v>1.5 C</v>
      </c>
      <c r="P133" t="s">
        <v>16</v>
      </c>
      <c r="Q133" t="s">
        <v>26</v>
      </c>
      <c r="R133" t="s">
        <v>11</v>
      </c>
      <c r="S133" t="s">
        <v>27</v>
      </c>
      <c r="AE133" t="s">
        <v>14</v>
      </c>
      <c r="AF133" t="s">
        <v>45</v>
      </c>
    </row>
    <row r="134" spans="1:32" x14ac:dyDescent="0.3">
      <c r="A134">
        <v>33</v>
      </c>
      <c r="B134" t="s">
        <v>11</v>
      </c>
      <c r="C134" t="s">
        <v>18</v>
      </c>
      <c r="D134">
        <v>1.8612500000000001</v>
      </c>
      <c r="E134">
        <v>1.30738179481979E-2</v>
      </c>
      <c r="F134">
        <v>3</v>
      </c>
      <c r="G134">
        <v>1.8196432763748001</v>
      </c>
      <c r="H134">
        <v>1.9028567236251901</v>
      </c>
      <c r="I134" t="s">
        <v>25</v>
      </c>
      <c r="J134" t="s">
        <v>26</v>
      </c>
      <c r="K134">
        <v>1.8481761820517999</v>
      </c>
      <c r="L134" t="s">
        <v>27</v>
      </c>
      <c r="M134">
        <f t="shared" si="6"/>
        <v>1.9</v>
      </c>
      <c r="N134">
        <f t="shared" si="7"/>
        <v>0</v>
      </c>
      <c r="O134" t="str">
        <f t="shared" si="8"/>
        <v>1.9 A</v>
      </c>
      <c r="P134" t="s">
        <v>18</v>
      </c>
      <c r="Q134" t="s">
        <v>26</v>
      </c>
      <c r="R134" t="s">
        <v>11</v>
      </c>
      <c r="S134" t="s">
        <v>27</v>
      </c>
      <c r="AE134" t="s">
        <v>26</v>
      </c>
      <c r="AF134" t="s">
        <v>15</v>
      </c>
    </row>
    <row r="135" spans="1:32" x14ac:dyDescent="0.3">
      <c r="A135">
        <v>34</v>
      </c>
      <c r="B135" t="s">
        <v>11</v>
      </c>
      <c r="C135" t="s">
        <v>20</v>
      </c>
      <c r="D135">
        <v>1.6737500000000001</v>
      </c>
      <c r="E135">
        <v>1.30738179481979E-2</v>
      </c>
      <c r="F135">
        <v>3</v>
      </c>
      <c r="G135">
        <v>1.6321432763748001</v>
      </c>
      <c r="H135">
        <v>1.7153567236251901</v>
      </c>
      <c r="I135" t="s">
        <v>28</v>
      </c>
      <c r="J135" t="s">
        <v>26</v>
      </c>
      <c r="K135">
        <v>1.6606761820517999</v>
      </c>
      <c r="L135" t="s">
        <v>27</v>
      </c>
      <c r="M135">
        <f t="shared" si="6"/>
        <v>1.7</v>
      </c>
      <c r="N135">
        <f t="shared" si="7"/>
        <v>0</v>
      </c>
      <c r="O135" t="str">
        <f t="shared" si="8"/>
        <v>1.7 B</v>
      </c>
      <c r="P135" t="s">
        <v>20</v>
      </c>
      <c r="Q135" t="s">
        <v>26</v>
      </c>
      <c r="R135" t="s">
        <v>11</v>
      </c>
      <c r="S135" t="s">
        <v>27</v>
      </c>
      <c r="AE135" t="s">
        <v>26</v>
      </c>
      <c r="AF135" t="s">
        <v>15</v>
      </c>
    </row>
    <row r="136" spans="1:32" x14ac:dyDescent="0.3">
      <c r="A136">
        <v>35</v>
      </c>
      <c r="B136" t="s">
        <v>11</v>
      </c>
      <c r="C136" t="s">
        <v>21</v>
      </c>
      <c r="D136">
        <v>1.8725000000000001</v>
      </c>
      <c r="E136">
        <v>1.30738179481979E-2</v>
      </c>
      <c r="F136">
        <v>3</v>
      </c>
      <c r="G136">
        <v>1.83089327637481</v>
      </c>
      <c r="H136">
        <v>1.9141067236251901</v>
      </c>
      <c r="I136" t="s">
        <v>25</v>
      </c>
      <c r="J136" t="s">
        <v>26</v>
      </c>
      <c r="K136">
        <v>1.8594261820518001</v>
      </c>
      <c r="L136" t="s">
        <v>27</v>
      </c>
      <c r="M136">
        <f t="shared" si="6"/>
        <v>1.9</v>
      </c>
      <c r="N136">
        <f t="shared" si="7"/>
        <v>0</v>
      </c>
      <c r="O136" t="str">
        <f t="shared" si="8"/>
        <v>1.9 A</v>
      </c>
      <c r="P136" t="s">
        <v>21</v>
      </c>
      <c r="Q136" t="s">
        <v>26</v>
      </c>
      <c r="R136" t="s">
        <v>11</v>
      </c>
      <c r="S136" t="s">
        <v>27</v>
      </c>
      <c r="AE136" t="s">
        <v>26</v>
      </c>
      <c r="AF136" t="s">
        <v>15</v>
      </c>
    </row>
    <row r="137" spans="1:32" x14ac:dyDescent="0.3">
      <c r="A137">
        <v>36</v>
      </c>
      <c r="B137" t="s">
        <v>23</v>
      </c>
      <c r="C137" t="s">
        <v>12</v>
      </c>
      <c r="D137">
        <v>1.1375</v>
      </c>
      <c r="E137">
        <v>1.30738179481979E-2</v>
      </c>
      <c r="F137">
        <v>3</v>
      </c>
      <c r="G137">
        <v>1.0958932763748099</v>
      </c>
      <c r="H137">
        <v>1.17910672362519</v>
      </c>
      <c r="I137" t="s">
        <v>13</v>
      </c>
      <c r="J137" t="s">
        <v>26</v>
      </c>
      <c r="K137">
        <v>1.1244261820518</v>
      </c>
      <c r="L137" t="s">
        <v>27</v>
      </c>
      <c r="M137">
        <f t="shared" si="6"/>
        <v>1.1000000000000001</v>
      </c>
      <c r="N137">
        <f t="shared" si="7"/>
        <v>0</v>
      </c>
      <c r="O137" t="str">
        <f t="shared" si="8"/>
        <v>1.1 D</v>
      </c>
      <c r="P137" t="s">
        <v>12</v>
      </c>
      <c r="Q137" t="s">
        <v>26</v>
      </c>
      <c r="R137" t="s">
        <v>23</v>
      </c>
      <c r="S137" t="s">
        <v>27</v>
      </c>
      <c r="AE137" t="s">
        <v>26</v>
      </c>
      <c r="AF137" t="s">
        <v>15</v>
      </c>
    </row>
    <row r="138" spans="1:32" x14ac:dyDescent="0.3">
      <c r="A138">
        <v>37</v>
      </c>
      <c r="B138" t="s">
        <v>23</v>
      </c>
      <c r="C138" t="s">
        <v>16</v>
      </c>
      <c r="D138">
        <v>1.5249999999999999</v>
      </c>
      <c r="E138">
        <v>1.30738179481979E-2</v>
      </c>
      <c r="F138">
        <v>3</v>
      </c>
      <c r="G138">
        <v>1.4833932763748101</v>
      </c>
      <c r="H138">
        <v>1.5666067236251899</v>
      </c>
      <c r="I138" t="s">
        <v>17</v>
      </c>
      <c r="J138" t="s">
        <v>26</v>
      </c>
      <c r="K138">
        <v>1.5119261820518</v>
      </c>
      <c r="L138" t="s">
        <v>27</v>
      </c>
      <c r="M138">
        <f t="shared" si="6"/>
        <v>1.5</v>
      </c>
      <c r="N138">
        <f t="shared" si="7"/>
        <v>0</v>
      </c>
      <c r="O138" t="str">
        <f t="shared" si="8"/>
        <v>1.5 C</v>
      </c>
      <c r="P138" t="s">
        <v>16</v>
      </c>
      <c r="Q138" t="s">
        <v>26</v>
      </c>
      <c r="R138" t="s">
        <v>23</v>
      </c>
      <c r="S138" t="s">
        <v>27</v>
      </c>
      <c r="AE138" t="s">
        <v>26</v>
      </c>
      <c r="AF138" t="s">
        <v>15</v>
      </c>
    </row>
    <row r="139" spans="1:32" x14ac:dyDescent="0.3">
      <c r="A139">
        <v>38</v>
      </c>
      <c r="B139" t="s">
        <v>23</v>
      </c>
      <c r="C139" t="s">
        <v>18</v>
      </c>
      <c r="D139">
        <v>1.8787499999999999</v>
      </c>
      <c r="E139">
        <v>1.30738179481979E-2</v>
      </c>
      <c r="F139">
        <v>3</v>
      </c>
      <c r="G139">
        <v>1.8371432763747999</v>
      </c>
      <c r="H139">
        <v>1.9203567236251899</v>
      </c>
      <c r="I139" t="s">
        <v>25</v>
      </c>
      <c r="J139" t="s">
        <v>26</v>
      </c>
      <c r="K139">
        <v>1.8656761820518</v>
      </c>
      <c r="L139" t="s">
        <v>27</v>
      </c>
      <c r="M139">
        <f t="shared" si="6"/>
        <v>1.9</v>
      </c>
      <c r="N139">
        <f t="shared" si="7"/>
        <v>0</v>
      </c>
      <c r="O139" t="str">
        <f t="shared" si="8"/>
        <v>1.9 A</v>
      </c>
      <c r="P139" t="s">
        <v>18</v>
      </c>
      <c r="Q139" t="s">
        <v>26</v>
      </c>
      <c r="R139" t="s">
        <v>23</v>
      </c>
      <c r="S139" t="s">
        <v>27</v>
      </c>
      <c r="AE139" t="s">
        <v>26</v>
      </c>
      <c r="AF139" t="s">
        <v>15</v>
      </c>
    </row>
    <row r="140" spans="1:32" x14ac:dyDescent="0.3">
      <c r="A140">
        <v>39</v>
      </c>
      <c r="B140" t="s">
        <v>23</v>
      </c>
      <c r="C140" t="s">
        <v>20</v>
      </c>
      <c r="D140">
        <v>1.68</v>
      </c>
      <c r="E140">
        <v>1.30738179481979E-2</v>
      </c>
      <c r="F140">
        <v>3</v>
      </c>
      <c r="G140">
        <v>1.6383932763748099</v>
      </c>
      <c r="H140">
        <v>1.72160672362519</v>
      </c>
      <c r="I140" t="s">
        <v>28</v>
      </c>
      <c r="J140" t="s">
        <v>26</v>
      </c>
      <c r="K140">
        <v>1.6669261820518</v>
      </c>
      <c r="L140" t="s">
        <v>27</v>
      </c>
      <c r="M140">
        <f t="shared" si="6"/>
        <v>1.7</v>
      </c>
      <c r="N140">
        <f t="shared" si="7"/>
        <v>0</v>
      </c>
      <c r="O140" t="str">
        <f t="shared" si="8"/>
        <v>1.7 B</v>
      </c>
      <c r="P140" t="s">
        <v>20</v>
      </c>
      <c r="Q140" t="s">
        <v>26</v>
      </c>
      <c r="R140" t="s">
        <v>23</v>
      </c>
      <c r="S140" t="s">
        <v>27</v>
      </c>
      <c r="AE140" t="s">
        <v>26</v>
      </c>
      <c r="AF140" t="s">
        <v>15</v>
      </c>
    </row>
    <row r="141" spans="1:32" x14ac:dyDescent="0.3">
      <c r="A141">
        <v>40</v>
      </c>
      <c r="B141" t="s">
        <v>23</v>
      </c>
      <c r="C141" t="s">
        <v>21</v>
      </c>
      <c r="D141">
        <v>1.835</v>
      </c>
      <c r="E141">
        <v>1.30738179481979E-2</v>
      </c>
      <c r="F141">
        <v>3</v>
      </c>
      <c r="G141">
        <v>1.7933932763748099</v>
      </c>
      <c r="H141">
        <v>1.87660672362519</v>
      </c>
      <c r="I141" t="s">
        <v>25</v>
      </c>
      <c r="J141" t="s">
        <v>26</v>
      </c>
      <c r="K141">
        <v>1.8219261820518</v>
      </c>
      <c r="L141" t="s">
        <v>27</v>
      </c>
      <c r="M141">
        <f t="shared" si="6"/>
        <v>1.8</v>
      </c>
      <c r="N141">
        <f t="shared" si="7"/>
        <v>0</v>
      </c>
      <c r="O141" t="str">
        <f t="shared" si="8"/>
        <v>1.8 A</v>
      </c>
      <c r="P141" t="s">
        <v>21</v>
      </c>
      <c r="Q141" t="s">
        <v>26</v>
      </c>
      <c r="R141" t="s">
        <v>23</v>
      </c>
      <c r="S141" t="s">
        <v>27</v>
      </c>
      <c r="AE141" t="s">
        <v>26</v>
      </c>
      <c r="AF141" t="s">
        <v>15</v>
      </c>
    </row>
    <row r="142" spans="1:32" x14ac:dyDescent="0.3">
      <c r="A142">
        <v>51</v>
      </c>
      <c r="B142" t="s">
        <v>11</v>
      </c>
      <c r="C142" t="s">
        <v>12</v>
      </c>
      <c r="D142">
        <v>9.5621938982861305</v>
      </c>
      <c r="E142">
        <v>8.4917029194339896E-2</v>
      </c>
      <c r="F142">
        <v>3</v>
      </c>
      <c r="G142">
        <v>9.2957330664248303</v>
      </c>
      <c r="H142">
        <v>9.8362927910092193</v>
      </c>
      <c r="I142" t="s">
        <v>25</v>
      </c>
      <c r="J142" t="s">
        <v>26</v>
      </c>
      <c r="K142">
        <v>9.4772768690917903</v>
      </c>
      <c r="L142" t="s">
        <v>29</v>
      </c>
      <c r="M142">
        <f t="shared" si="6"/>
        <v>9.6</v>
      </c>
      <c r="N142">
        <f t="shared" si="7"/>
        <v>0.1</v>
      </c>
      <c r="O142" t="str">
        <f t="shared" si="8"/>
        <v>9.6 A</v>
      </c>
      <c r="P142" t="s">
        <v>12</v>
      </c>
      <c r="Q142" t="s">
        <v>26</v>
      </c>
      <c r="R142" t="s">
        <v>11</v>
      </c>
      <c r="S142" t="s">
        <v>29</v>
      </c>
      <c r="T142" t="str">
        <f>O142</f>
        <v>9.6 A</v>
      </c>
      <c r="U142" t="str">
        <f>O143</f>
        <v>8.6 B</v>
      </c>
      <c r="V142" t="str">
        <f>O144</f>
        <v>7.3 D</v>
      </c>
      <c r="W142" t="str">
        <f>O145</f>
        <v>8 C</v>
      </c>
      <c r="X142" t="str">
        <f>O146</f>
        <v>7.4 D</v>
      </c>
      <c r="Y142" t="str">
        <f>O147</f>
        <v>9.5 A</v>
      </c>
      <c r="Z142" t="str">
        <f>O148</f>
        <v>8.9 B</v>
      </c>
      <c r="AA142" t="str">
        <f>O149</f>
        <v>7.5 D</v>
      </c>
      <c r="AB142" t="str">
        <f>O150</f>
        <v>8.1 C</v>
      </c>
      <c r="AC142" t="str">
        <f>O151</f>
        <v>7.6 D</v>
      </c>
      <c r="AD142">
        <v>1</v>
      </c>
      <c r="AE142" t="s">
        <v>26</v>
      </c>
      <c r="AF142" t="s">
        <v>15</v>
      </c>
    </row>
    <row r="143" spans="1:32" x14ac:dyDescent="0.3">
      <c r="A143">
        <v>52</v>
      </c>
      <c r="B143" t="s">
        <v>11</v>
      </c>
      <c r="C143" t="s">
        <v>16</v>
      </c>
      <c r="D143">
        <v>8.6322208120700594</v>
      </c>
      <c r="E143">
        <v>7.6658406481584201E-2</v>
      </c>
      <c r="F143">
        <v>3</v>
      </c>
      <c r="G143">
        <v>8.3916746818763492</v>
      </c>
      <c r="H143">
        <v>8.8796621619838803</v>
      </c>
      <c r="I143" t="s">
        <v>28</v>
      </c>
      <c r="J143" t="s">
        <v>26</v>
      </c>
      <c r="K143">
        <v>8.5555624055884802</v>
      </c>
      <c r="L143" t="s">
        <v>29</v>
      </c>
      <c r="M143">
        <f t="shared" si="6"/>
        <v>8.6</v>
      </c>
      <c r="N143">
        <f t="shared" si="7"/>
        <v>0.1</v>
      </c>
      <c r="O143" t="str">
        <f t="shared" si="8"/>
        <v>8.6 B</v>
      </c>
      <c r="P143" t="s">
        <v>16</v>
      </c>
      <c r="Q143" t="s">
        <v>26</v>
      </c>
      <c r="R143" t="s">
        <v>11</v>
      </c>
      <c r="S143" t="s">
        <v>29</v>
      </c>
      <c r="AE143" t="s">
        <v>26</v>
      </c>
      <c r="AF143" t="s">
        <v>27</v>
      </c>
    </row>
    <row r="144" spans="1:32" x14ac:dyDescent="0.3">
      <c r="A144">
        <v>53</v>
      </c>
      <c r="B144" t="s">
        <v>11</v>
      </c>
      <c r="C144" t="s">
        <v>18</v>
      </c>
      <c r="D144">
        <v>7.3094120486335301</v>
      </c>
      <c r="E144">
        <v>6.4911207922537795E-2</v>
      </c>
      <c r="F144">
        <v>3</v>
      </c>
      <c r="G144">
        <v>7.1057274093537197</v>
      </c>
      <c r="H144">
        <v>7.5189352783754302</v>
      </c>
      <c r="I144" t="s">
        <v>13</v>
      </c>
      <c r="J144" t="s">
        <v>26</v>
      </c>
      <c r="K144">
        <v>7.2445008407109901</v>
      </c>
      <c r="L144" t="s">
        <v>29</v>
      </c>
      <c r="M144">
        <f t="shared" si="6"/>
        <v>7.3</v>
      </c>
      <c r="N144">
        <f t="shared" si="7"/>
        <v>0.1</v>
      </c>
      <c r="O144" t="str">
        <f t="shared" si="8"/>
        <v>7.3 D</v>
      </c>
      <c r="P144" t="s">
        <v>18</v>
      </c>
      <c r="Q144" t="s">
        <v>26</v>
      </c>
      <c r="R144" t="s">
        <v>11</v>
      </c>
      <c r="S144" t="s">
        <v>29</v>
      </c>
      <c r="AE144" t="s">
        <v>26</v>
      </c>
      <c r="AF144" t="s">
        <v>27</v>
      </c>
    </row>
    <row r="145" spans="1:32" x14ac:dyDescent="0.3">
      <c r="A145">
        <v>54</v>
      </c>
      <c r="B145" t="s">
        <v>11</v>
      </c>
      <c r="C145" t="s">
        <v>20</v>
      </c>
      <c r="D145">
        <v>7.9610504525873296</v>
      </c>
      <c r="E145">
        <v>7.06980804709616E-2</v>
      </c>
      <c r="F145">
        <v>3</v>
      </c>
      <c r="G145">
        <v>7.7392072073393399</v>
      </c>
      <c r="H145">
        <v>8.1892528020876707</v>
      </c>
      <c r="I145" t="s">
        <v>17</v>
      </c>
      <c r="J145" t="s">
        <v>26</v>
      </c>
      <c r="K145">
        <v>7.89035237211636</v>
      </c>
      <c r="L145" t="s">
        <v>29</v>
      </c>
      <c r="M145">
        <f t="shared" si="6"/>
        <v>8</v>
      </c>
      <c r="N145">
        <f t="shared" si="7"/>
        <v>0.1</v>
      </c>
      <c r="O145" t="str">
        <f t="shared" si="8"/>
        <v>8 C</v>
      </c>
      <c r="P145" t="s">
        <v>20</v>
      </c>
      <c r="Q145" t="s">
        <v>26</v>
      </c>
      <c r="R145" t="s">
        <v>11</v>
      </c>
      <c r="S145" t="s">
        <v>29</v>
      </c>
      <c r="AE145" t="s">
        <v>26</v>
      </c>
      <c r="AF145" t="s">
        <v>27</v>
      </c>
    </row>
    <row r="146" spans="1:32" x14ac:dyDescent="0.3">
      <c r="A146">
        <v>55</v>
      </c>
      <c r="B146" t="s">
        <v>11</v>
      </c>
      <c r="C146" t="s">
        <v>21</v>
      </c>
      <c r="D146">
        <v>7.4498924735938399</v>
      </c>
      <c r="E146">
        <v>6.61587438410184E-2</v>
      </c>
      <c r="F146">
        <v>3</v>
      </c>
      <c r="G146">
        <v>7.2422931959691796</v>
      </c>
      <c r="H146">
        <v>7.6634425542175002</v>
      </c>
      <c r="I146" t="s">
        <v>13</v>
      </c>
      <c r="J146" t="s">
        <v>26</v>
      </c>
      <c r="K146">
        <v>7.3837337297528203</v>
      </c>
      <c r="L146" t="s">
        <v>29</v>
      </c>
      <c r="M146">
        <f t="shared" si="6"/>
        <v>7.4</v>
      </c>
      <c r="N146">
        <f t="shared" si="7"/>
        <v>0.1</v>
      </c>
      <c r="O146" t="str">
        <f t="shared" si="8"/>
        <v>7.4 D</v>
      </c>
      <c r="P146" t="s">
        <v>21</v>
      </c>
      <c r="Q146" t="s">
        <v>26</v>
      </c>
      <c r="R146" t="s">
        <v>11</v>
      </c>
      <c r="S146" t="s">
        <v>29</v>
      </c>
      <c r="AE146" t="s">
        <v>26</v>
      </c>
      <c r="AF146" t="s">
        <v>27</v>
      </c>
    </row>
    <row r="147" spans="1:32" x14ac:dyDescent="0.3">
      <c r="A147">
        <v>56</v>
      </c>
      <c r="B147" t="s">
        <v>23</v>
      </c>
      <c r="C147" t="s">
        <v>12</v>
      </c>
      <c r="D147">
        <v>9.4807992982411093</v>
      </c>
      <c r="E147">
        <v>8.4194204735663802E-2</v>
      </c>
      <c r="F147">
        <v>3</v>
      </c>
      <c r="G147">
        <v>9.2166066145754701</v>
      </c>
      <c r="H147">
        <v>9.7525650266314798</v>
      </c>
      <c r="I147" t="s">
        <v>25</v>
      </c>
      <c r="J147" t="s">
        <v>26</v>
      </c>
      <c r="K147">
        <v>9.3966050935054497</v>
      </c>
      <c r="L147" t="s">
        <v>29</v>
      </c>
      <c r="M147">
        <f t="shared" si="6"/>
        <v>9.5</v>
      </c>
      <c r="N147">
        <f t="shared" si="7"/>
        <v>0.1</v>
      </c>
      <c r="O147" t="str">
        <f t="shared" si="8"/>
        <v>9.5 A</v>
      </c>
      <c r="P147" t="s">
        <v>12</v>
      </c>
      <c r="Q147" t="s">
        <v>26</v>
      </c>
      <c r="R147" t="s">
        <v>23</v>
      </c>
      <c r="S147" t="s">
        <v>29</v>
      </c>
      <c r="AE147" t="s">
        <v>26</v>
      </c>
      <c r="AF147" t="s">
        <v>27</v>
      </c>
    </row>
    <row r="148" spans="1:32" x14ac:dyDescent="0.3">
      <c r="A148">
        <v>57</v>
      </c>
      <c r="B148" t="s">
        <v>23</v>
      </c>
      <c r="C148" t="s">
        <v>16</v>
      </c>
      <c r="D148">
        <v>8.88863557764771</v>
      </c>
      <c r="E148">
        <v>7.8935496903094995E-2</v>
      </c>
      <c r="F148">
        <v>3</v>
      </c>
      <c r="G148">
        <v>8.6409441738416799</v>
      </c>
      <c r="H148">
        <v>9.1434270193992706</v>
      </c>
      <c r="I148" t="s">
        <v>28</v>
      </c>
      <c r="J148" t="s">
        <v>26</v>
      </c>
      <c r="K148">
        <v>8.8097000807446193</v>
      </c>
      <c r="L148" t="s">
        <v>29</v>
      </c>
      <c r="M148">
        <f t="shared" si="6"/>
        <v>8.9</v>
      </c>
      <c r="N148">
        <f t="shared" si="7"/>
        <v>0.1</v>
      </c>
      <c r="O148" t="str">
        <f t="shared" si="8"/>
        <v>8.9 B</v>
      </c>
      <c r="P148" t="s">
        <v>16</v>
      </c>
      <c r="Q148" t="s">
        <v>26</v>
      </c>
      <c r="R148" t="s">
        <v>23</v>
      </c>
      <c r="S148" t="s">
        <v>29</v>
      </c>
      <c r="AE148" t="s">
        <v>26</v>
      </c>
      <c r="AF148" t="s">
        <v>27</v>
      </c>
    </row>
    <row r="149" spans="1:32" x14ac:dyDescent="0.3">
      <c r="A149">
        <v>58</v>
      </c>
      <c r="B149" t="s">
        <v>23</v>
      </c>
      <c r="C149" t="s">
        <v>18</v>
      </c>
      <c r="D149">
        <v>7.4724412567526199</v>
      </c>
      <c r="E149">
        <v>6.6358988230345597E-2</v>
      </c>
      <c r="F149">
        <v>3</v>
      </c>
      <c r="G149">
        <v>7.2642136329992502</v>
      </c>
      <c r="H149">
        <v>7.6866376949550803</v>
      </c>
      <c r="I149" t="s">
        <v>13</v>
      </c>
      <c r="J149" t="s">
        <v>26</v>
      </c>
      <c r="K149">
        <v>7.4060822685222698</v>
      </c>
      <c r="L149" t="s">
        <v>29</v>
      </c>
      <c r="M149">
        <f t="shared" si="6"/>
        <v>7.5</v>
      </c>
      <c r="N149">
        <f t="shared" si="7"/>
        <v>0.1</v>
      </c>
      <c r="O149" t="str">
        <f t="shared" si="8"/>
        <v>7.5 D</v>
      </c>
      <c r="P149" t="s">
        <v>18</v>
      </c>
      <c r="Q149" t="s">
        <v>26</v>
      </c>
      <c r="R149" t="s">
        <v>23</v>
      </c>
      <c r="S149" t="s">
        <v>29</v>
      </c>
      <c r="AE149" t="s">
        <v>26</v>
      </c>
      <c r="AF149" t="s">
        <v>27</v>
      </c>
    </row>
    <row r="150" spans="1:32" x14ac:dyDescent="0.3">
      <c r="A150">
        <v>59</v>
      </c>
      <c r="B150" t="s">
        <v>23</v>
      </c>
      <c r="C150" t="s">
        <v>20</v>
      </c>
      <c r="D150">
        <v>8.0706396414195005</v>
      </c>
      <c r="E150">
        <v>7.1671286875938794E-2</v>
      </c>
      <c r="F150">
        <v>3</v>
      </c>
      <c r="G150">
        <v>7.8457425753925403</v>
      </c>
      <c r="H150">
        <v>8.3019833490258303</v>
      </c>
      <c r="I150" t="s">
        <v>17</v>
      </c>
      <c r="J150" t="s">
        <v>26</v>
      </c>
      <c r="K150">
        <v>7.9989683545435604</v>
      </c>
      <c r="L150" t="s">
        <v>29</v>
      </c>
      <c r="M150">
        <f t="shared" si="6"/>
        <v>8.1</v>
      </c>
      <c r="N150">
        <f t="shared" si="7"/>
        <v>0.1</v>
      </c>
      <c r="O150" t="str">
        <f t="shared" si="8"/>
        <v>8.1 C</v>
      </c>
      <c r="P150" t="s">
        <v>20</v>
      </c>
      <c r="Q150" t="s">
        <v>26</v>
      </c>
      <c r="R150" t="s">
        <v>23</v>
      </c>
      <c r="S150" t="s">
        <v>29</v>
      </c>
      <c r="AE150" t="s">
        <v>26</v>
      </c>
      <c r="AF150" t="s">
        <v>27</v>
      </c>
    </row>
    <row r="151" spans="1:32" x14ac:dyDescent="0.3">
      <c r="A151">
        <v>60</v>
      </c>
      <c r="B151" t="s">
        <v>23</v>
      </c>
      <c r="C151" t="s">
        <v>21</v>
      </c>
      <c r="D151">
        <v>7.5717094807069696</v>
      </c>
      <c r="E151">
        <v>6.7240539343120395E-2</v>
      </c>
      <c r="F151">
        <v>3</v>
      </c>
      <c r="G151">
        <v>7.3607156409770598</v>
      </c>
      <c r="H151">
        <v>7.7887514280632804</v>
      </c>
      <c r="I151" t="s">
        <v>13</v>
      </c>
      <c r="J151" t="s">
        <v>26</v>
      </c>
      <c r="K151">
        <v>7.5044689413638501</v>
      </c>
      <c r="L151" t="s">
        <v>29</v>
      </c>
      <c r="M151">
        <f t="shared" si="6"/>
        <v>7.6</v>
      </c>
      <c r="N151">
        <f t="shared" si="7"/>
        <v>0.1</v>
      </c>
      <c r="O151" t="str">
        <f t="shared" si="8"/>
        <v>7.6 D</v>
      </c>
      <c r="P151" t="s">
        <v>21</v>
      </c>
      <c r="Q151" t="s">
        <v>26</v>
      </c>
      <c r="R151" t="s">
        <v>23</v>
      </c>
      <c r="S151" t="s">
        <v>29</v>
      </c>
      <c r="AE151" t="s">
        <v>26</v>
      </c>
      <c r="AF151" t="s">
        <v>27</v>
      </c>
    </row>
    <row r="152" spans="1:32" x14ac:dyDescent="0.3">
      <c r="A152">
        <v>71</v>
      </c>
      <c r="B152" t="s">
        <v>11</v>
      </c>
      <c r="C152" t="s">
        <v>12</v>
      </c>
      <c r="D152">
        <v>6.7130160599999904</v>
      </c>
      <c r="E152">
        <v>0.28422065908945399</v>
      </c>
      <c r="F152">
        <v>3</v>
      </c>
      <c r="G152">
        <v>5.8084990735954598</v>
      </c>
      <c r="H152">
        <v>7.6175330464045299</v>
      </c>
      <c r="I152" t="s">
        <v>17</v>
      </c>
      <c r="J152" t="s">
        <v>26</v>
      </c>
      <c r="K152">
        <v>6.4287954009105404</v>
      </c>
      <c r="L152" t="s">
        <v>33</v>
      </c>
      <c r="M152">
        <f t="shared" si="6"/>
        <v>6.7</v>
      </c>
      <c r="N152">
        <f t="shared" si="7"/>
        <v>0.3</v>
      </c>
      <c r="O152" t="str">
        <f t="shared" si="8"/>
        <v>6.7 C</v>
      </c>
      <c r="P152" t="s">
        <v>12</v>
      </c>
      <c r="Q152" t="s">
        <v>26</v>
      </c>
      <c r="R152" t="s">
        <v>11</v>
      </c>
      <c r="S152" t="s">
        <v>33</v>
      </c>
      <c r="T152" t="str">
        <f>O152</f>
        <v>6.7 C</v>
      </c>
      <c r="U152" t="str">
        <f>O153</f>
        <v>8 AB</v>
      </c>
      <c r="V152" t="str">
        <f>O154</f>
        <v>7.8 ABC</v>
      </c>
      <c r="W152" t="str">
        <f>O155</f>
        <v>8.3 A</v>
      </c>
      <c r="X152" t="str">
        <f>O156</f>
        <v>7.9 AB</v>
      </c>
      <c r="Y152" t="str">
        <f>O157</f>
        <v>6.9 BC</v>
      </c>
      <c r="Z152" t="str">
        <f>O158</f>
        <v>8.9 A</v>
      </c>
      <c r="AA152" t="str">
        <f>O159</f>
        <v>7.8 ABC</v>
      </c>
      <c r="AB152" t="str">
        <f>O160</f>
        <v>8.3 A</v>
      </c>
      <c r="AC152" t="str">
        <f>O161</f>
        <v>8.2 A</v>
      </c>
      <c r="AD152">
        <v>1</v>
      </c>
      <c r="AE152" t="s">
        <v>26</v>
      </c>
      <c r="AF152" t="s">
        <v>29</v>
      </c>
    </row>
    <row r="153" spans="1:32" x14ac:dyDescent="0.3">
      <c r="A153">
        <v>72</v>
      </c>
      <c r="B153" t="s">
        <v>11</v>
      </c>
      <c r="C153" t="s">
        <v>16</v>
      </c>
      <c r="D153">
        <v>7.9675252233749898</v>
      </c>
      <c r="E153">
        <v>0.28422065908945399</v>
      </c>
      <c r="F153">
        <v>3</v>
      </c>
      <c r="G153">
        <v>7.0630082369704601</v>
      </c>
      <c r="H153">
        <v>8.8720422097795293</v>
      </c>
      <c r="I153" t="s">
        <v>24</v>
      </c>
      <c r="J153" t="s">
        <v>26</v>
      </c>
      <c r="K153">
        <v>7.6833045642855398</v>
      </c>
      <c r="L153" t="s">
        <v>33</v>
      </c>
      <c r="M153">
        <f t="shared" si="6"/>
        <v>8</v>
      </c>
      <c r="N153">
        <f t="shared" si="7"/>
        <v>0.3</v>
      </c>
      <c r="O153" t="str">
        <f t="shared" si="8"/>
        <v>8 AB</v>
      </c>
      <c r="P153" t="s">
        <v>16</v>
      </c>
      <c r="Q153" t="s">
        <v>26</v>
      </c>
      <c r="R153" t="s">
        <v>11</v>
      </c>
      <c r="S153" t="s">
        <v>33</v>
      </c>
      <c r="AE153" t="s">
        <v>26</v>
      </c>
      <c r="AF153" t="s">
        <v>29</v>
      </c>
    </row>
    <row r="154" spans="1:32" x14ac:dyDescent="0.3">
      <c r="A154">
        <v>73</v>
      </c>
      <c r="B154" t="s">
        <v>11</v>
      </c>
      <c r="C154" t="s">
        <v>18</v>
      </c>
      <c r="D154">
        <v>7.81033836762498</v>
      </c>
      <c r="E154">
        <v>0.28422065908945499</v>
      </c>
      <c r="F154">
        <v>3</v>
      </c>
      <c r="G154">
        <v>6.9058213812204503</v>
      </c>
      <c r="H154">
        <v>8.7148553540295204</v>
      </c>
      <c r="I154" t="s">
        <v>22</v>
      </c>
      <c r="J154" t="s">
        <v>26</v>
      </c>
      <c r="K154">
        <v>7.52611770853553</v>
      </c>
      <c r="L154" t="s">
        <v>33</v>
      </c>
      <c r="M154">
        <f t="shared" si="6"/>
        <v>7.8</v>
      </c>
      <c r="N154">
        <f t="shared" si="7"/>
        <v>0.3</v>
      </c>
      <c r="O154" t="str">
        <f t="shared" si="8"/>
        <v>7.8 ABC</v>
      </c>
      <c r="P154" t="s">
        <v>18</v>
      </c>
      <c r="Q154" t="s">
        <v>26</v>
      </c>
      <c r="R154" t="s">
        <v>11</v>
      </c>
      <c r="S154" t="s">
        <v>33</v>
      </c>
      <c r="AE154" t="s">
        <v>26</v>
      </c>
      <c r="AF154" t="s">
        <v>29</v>
      </c>
    </row>
    <row r="155" spans="1:32" x14ac:dyDescent="0.3">
      <c r="A155">
        <v>74</v>
      </c>
      <c r="B155" t="s">
        <v>11</v>
      </c>
      <c r="C155" t="s">
        <v>20</v>
      </c>
      <c r="D155">
        <v>8.3336105234999902</v>
      </c>
      <c r="E155">
        <v>0.28422065908945499</v>
      </c>
      <c r="F155">
        <v>3</v>
      </c>
      <c r="G155">
        <v>7.4290935370954596</v>
      </c>
      <c r="H155">
        <v>9.2381275099045297</v>
      </c>
      <c r="I155" t="s">
        <v>25</v>
      </c>
      <c r="J155" t="s">
        <v>26</v>
      </c>
      <c r="K155">
        <v>8.0493898644105393</v>
      </c>
      <c r="L155" t="s">
        <v>33</v>
      </c>
      <c r="M155">
        <f t="shared" si="6"/>
        <v>8.3000000000000007</v>
      </c>
      <c r="N155">
        <f t="shared" si="7"/>
        <v>0.3</v>
      </c>
      <c r="O155" t="str">
        <f t="shared" si="8"/>
        <v>8.3 A</v>
      </c>
      <c r="P155" t="s">
        <v>20</v>
      </c>
      <c r="Q155" t="s">
        <v>26</v>
      </c>
      <c r="R155" t="s">
        <v>11</v>
      </c>
      <c r="S155" t="s">
        <v>33</v>
      </c>
      <c r="AE155" t="s">
        <v>26</v>
      </c>
      <c r="AF155" t="s">
        <v>29</v>
      </c>
    </row>
    <row r="156" spans="1:32" x14ac:dyDescent="0.3">
      <c r="A156">
        <v>75</v>
      </c>
      <c r="B156" t="s">
        <v>11</v>
      </c>
      <c r="C156" t="s">
        <v>21</v>
      </c>
      <c r="D156">
        <v>7.9141105194999897</v>
      </c>
      <c r="E156">
        <v>0.28422065908945399</v>
      </c>
      <c r="F156">
        <v>3</v>
      </c>
      <c r="G156">
        <v>7.00959353309546</v>
      </c>
      <c r="H156">
        <v>8.81862750590453</v>
      </c>
      <c r="I156" t="s">
        <v>24</v>
      </c>
      <c r="J156" t="s">
        <v>26</v>
      </c>
      <c r="K156">
        <v>7.6298898604105396</v>
      </c>
      <c r="L156" t="s">
        <v>33</v>
      </c>
      <c r="M156">
        <f t="shared" si="6"/>
        <v>7.9</v>
      </c>
      <c r="N156">
        <f t="shared" si="7"/>
        <v>0.3</v>
      </c>
      <c r="O156" t="str">
        <f t="shared" si="8"/>
        <v>7.9 AB</v>
      </c>
      <c r="P156" t="s">
        <v>21</v>
      </c>
      <c r="Q156" t="s">
        <v>26</v>
      </c>
      <c r="R156" t="s">
        <v>11</v>
      </c>
      <c r="S156" t="s">
        <v>33</v>
      </c>
      <c r="AE156" t="s">
        <v>26</v>
      </c>
      <c r="AF156" t="s">
        <v>29</v>
      </c>
    </row>
    <row r="157" spans="1:32" x14ac:dyDescent="0.3">
      <c r="A157">
        <v>76</v>
      </c>
      <c r="B157" t="s">
        <v>23</v>
      </c>
      <c r="C157" t="s">
        <v>12</v>
      </c>
      <c r="D157">
        <v>6.9363689514999898</v>
      </c>
      <c r="E157">
        <v>0.28422065908945399</v>
      </c>
      <c r="F157">
        <v>3</v>
      </c>
      <c r="G157">
        <v>6.0318519650954601</v>
      </c>
      <c r="H157">
        <v>7.8408859379045301</v>
      </c>
      <c r="I157" t="s">
        <v>19</v>
      </c>
      <c r="J157" t="s">
        <v>26</v>
      </c>
      <c r="K157">
        <v>6.6521482924105397</v>
      </c>
      <c r="L157" t="s">
        <v>33</v>
      </c>
      <c r="M157">
        <f t="shared" si="6"/>
        <v>6.9</v>
      </c>
      <c r="N157">
        <f t="shared" si="7"/>
        <v>0.3</v>
      </c>
      <c r="O157" t="str">
        <f t="shared" si="8"/>
        <v>6.9 BC</v>
      </c>
      <c r="P157" t="s">
        <v>12</v>
      </c>
      <c r="Q157" t="s">
        <v>26</v>
      </c>
      <c r="R157" t="s">
        <v>23</v>
      </c>
      <c r="S157" t="s">
        <v>33</v>
      </c>
      <c r="AE157" t="s">
        <v>26</v>
      </c>
      <c r="AF157" t="s">
        <v>29</v>
      </c>
    </row>
    <row r="158" spans="1:32" x14ac:dyDescent="0.3">
      <c r="A158">
        <v>77</v>
      </c>
      <c r="B158" t="s">
        <v>23</v>
      </c>
      <c r="C158" t="s">
        <v>16</v>
      </c>
      <c r="D158">
        <v>8.8923970982499903</v>
      </c>
      <c r="E158">
        <v>0.28422065908945399</v>
      </c>
      <c r="F158">
        <v>3</v>
      </c>
      <c r="G158">
        <v>7.9878801118454597</v>
      </c>
      <c r="H158">
        <v>9.7969140846545297</v>
      </c>
      <c r="I158" t="s">
        <v>25</v>
      </c>
      <c r="J158" t="s">
        <v>26</v>
      </c>
      <c r="K158">
        <v>8.6081764391605393</v>
      </c>
      <c r="L158" t="s">
        <v>33</v>
      </c>
      <c r="M158">
        <f t="shared" si="6"/>
        <v>8.9</v>
      </c>
      <c r="N158">
        <f t="shared" si="7"/>
        <v>0.3</v>
      </c>
      <c r="O158" t="str">
        <f t="shared" si="8"/>
        <v>8.9 A</v>
      </c>
      <c r="P158" t="s">
        <v>16</v>
      </c>
      <c r="Q158" t="s">
        <v>26</v>
      </c>
      <c r="R158" t="s">
        <v>23</v>
      </c>
      <c r="S158" t="s">
        <v>33</v>
      </c>
      <c r="AE158" t="s">
        <v>26</v>
      </c>
      <c r="AF158" t="s">
        <v>29</v>
      </c>
    </row>
    <row r="159" spans="1:32" x14ac:dyDescent="0.3">
      <c r="A159">
        <v>78</v>
      </c>
      <c r="B159" t="s">
        <v>23</v>
      </c>
      <c r="C159" t="s">
        <v>18</v>
      </c>
      <c r="D159">
        <v>7.8499316803749899</v>
      </c>
      <c r="E159">
        <v>0.28422065908945499</v>
      </c>
      <c r="F159">
        <v>3</v>
      </c>
      <c r="G159">
        <v>6.9454146939704602</v>
      </c>
      <c r="H159">
        <v>8.7544486667795294</v>
      </c>
      <c r="I159" t="s">
        <v>22</v>
      </c>
      <c r="J159" t="s">
        <v>26</v>
      </c>
      <c r="K159">
        <v>7.5657110212855399</v>
      </c>
      <c r="L159" t="s">
        <v>33</v>
      </c>
      <c r="M159">
        <f t="shared" si="6"/>
        <v>7.8</v>
      </c>
      <c r="N159">
        <f t="shared" si="7"/>
        <v>0.3</v>
      </c>
      <c r="O159" t="str">
        <f t="shared" si="8"/>
        <v>7.8 ABC</v>
      </c>
      <c r="P159" t="s">
        <v>18</v>
      </c>
      <c r="Q159" t="s">
        <v>26</v>
      </c>
      <c r="R159" t="s">
        <v>23</v>
      </c>
      <c r="S159" t="s">
        <v>33</v>
      </c>
      <c r="AE159" t="s">
        <v>26</v>
      </c>
      <c r="AF159" t="s">
        <v>29</v>
      </c>
    </row>
    <row r="160" spans="1:32" x14ac:dyDescent="0.3">
      <c r="A160">
        <v>79</v>
      </c>
      <c r="B160" t="s">
        <v>23</v>
      </c>
      <c r="C160" t="s">
        <v>20</v>
      </c>
      <c r="D160">
        <v>8.3051068931249894</v>
      </c>
      <c r="E160">
        <v>0.28422065908945399</v>
      </c>
      <c r="F160">
        <v>3</v>
      </c>
      <c r="G160">
        <v>7.4005899067204597</v>
      </c>
      <c r="H160">
        <v>9.2096238795295307</v>
      </c>
      <c r="I160" t="s">
        <v>25</v>
      </c>
      <c r="J160" t="s">
        <v>26</v>
      </c>
      <c r="K160">
        <v>8.0208862340355402</v>
      </c>
      <c r="L160" t="s">
        <v>33</v>
      </c>
      <c r="M160">
        <f t="shared" si="6"/>
        <v>8.3000000000000007</v>
      </c>
      <c r="N160">
        <f t="shared" si="7"/>
        <v>0.3</v>
      </c>
      <c r="O160" t="str">
        <f t="shared" si="8"/>
        <v>8.3 A</v>
      </c>
      <c r="P160" t="s">
        <v>20</v>
      </c>
      <c r="Q160" t="s">
        <v>26</v>
      </c>
      <c r="R160" t="s">
        <v>23</v>
      </c>
      <c r="S160" t="s">
        <v>33</v>
      </c>
      <c r="AE160" t="s">
        <v>26</v>
      </c>
      <c r="AF160" t="s">
        <v>29</v>
      </c>
    </row>
    <row r="161" spans="1:32" x14ac:dyDescent="0.3">
      <c r="A161">
        <v>80</v>
      </c>
      <c r="B161" t="s">
        <v>23</v>
      </c>
      <c r="C161" t="s">
        <v>21</v>
      </c>
      <c r="D161">
        <v>8.2103445166249909</v>
      </c>
      <c r="E161">
        <v>0.28422065908945399</v>
      </c>
      <c r="F161">
        <v>3</v>
      </c>
      <c r="G161">
        <v>7.3058275302204603</v>
      </c>
      <c r="H161">
        <v>9.1148615030295304</v>
      </c>
      <c r="I161" t="s">
        <v>25</v>
      </c>
      <c r="J161" t="s">
        <v>26</v>
      </c>
      <c r="K161">
        <v>7.9261238575355399</v>
      </c>
      <c r="L161" t="s">
        <v>33</v>
      </c>
      <c r="M161">
        <f t="shared" si="6"/>
        <v>8.1999999999999993</v>
      </c>
      <c r="N161">
        <f t="shared" si="7"/>
        <v>0.3</v>
      </c>
      <c r="O161" t="str">
        <f t="shared" si="8"/>
        <v>8.2 A</v>
      </c>
      <c r="P161" t="s">
        <v>21</v>
      </c>
      <c r="Q161" t="s">
        <v>26</v>
      </c>
      <c r="R161" t="s">
        <v>23</v>
      </c>
      <c r="S161" t="s">
        <v>33</v>
      </c>
      <c r="AE161" t="s">
        <v>26</v>
      </c>
      <c r="AF161" t="s">
        <v>33</v>
      </c>
    </row>
    <row r="162" spans="1:32" x14ac:dyDescent="0.3">
      <c r="A162">
        <v>91</v>
      </c>
      <c r="B162" t="s">
        <v>11</v>
      </c>
      <c r="C162" t="s">
        <v>12</v>
      </c>
      <c r="D162">
        <v>0.75613791949999998</v>
      </c>
      <c r="E162">
        <v>5.0892272098504499E-2</v>
      </c>
      <c r="F162">
        <v>3</v>
      </c>
      <c r="G162">
        <v>0.59417599619262096</v>
      </c>
      <c r="H162">
        <v>0.918099842807379</v>
      </c>
      <c r="I162" t="s">
        <v>17</v>
      </c>
      <c r="J162" t="s">
        <v>26</v>
      </c>
      <c r="K162">
        <v>0.70524564740149498</v>
      </c>
      <c r="L162" t="s">
        <v>34</v>
      </c>
      <c r="M162">
        <f t="shared" si="6"/>
        <v>0.8</v>
      </c>
      <c r="N162">
        <f t="shared" si="7"/>
        <v>0.1</v>
      </c>
      <c r="O162" t="str">
        <f t="shared" si="8"/>
        <v>0.8 C</v>
      </c>
      <c r="P162" t="s">
        <v>12</v>
      </c>
      <c r="Q162" t="s">
        <v>26</v>
      </c>
      <c r="R162" t="s">
        <v>11</v>
      </c>
      <c r="S162" t="s">
        <v>34</v>
      </c>
      <c r="T162" t="str">
        <f>O162</f>
        <v>0.8 C</v>
      </c>
      <c r="U162" t="str">
        <f>O163</f>
        <v>1 AB</v>
      </c>
      <c r="V162" t="str">
        <f>O164</f>
        <v>1.1 A</v>
      </c>
      <c r="W162" t="str">
        <f>O165</f>
        <v>1.1 A</v>
      </c>
      <c r="X162" t="str">
        <f>O166</f>
        <v>1.1 A</v>
      </c>
      <c r="Y162" t="str">
        <f>O167</f>
        <v>0.8 BC</v>
      </c>
      <c r="Z162" t="str">
        <f>O168</f>
        <v>1.1 A</v>
      </c>
      <c r="AA162" t="str">
        <f>O169</f>
        <v>1.1 A</v>
      </c>
      <c r="AB162" t="str">
        <f>O170</f>
        <v>1.1 A</v>
      </c>
      <c r="AC162" t="str">
        <f>O171</f>
        <v>1.1 A</v>
      </c>
      <c r="AD162">
        <v>1</v>
      </c>
      <c r="AE162" t="s">
        <v>26</v>
      </c>
      <c r="AF162" t="s">
        <v>33</v>
      </c>
    </row>
    <row r="163" spans="1:32" x14ac:dyDescent="0.3">
      <c r="A163">
        <v>92</v>
      </c>
      <c r="B163" t="s">
        <v>11</v>
      </c>
      <c r="C163" t="s">
        <v>16</v>
      </c>
      <c r="D163">
        <v>0.96144093187500002</v>
      </c>
      <c r="E163">
        <v>5.0892272098504603E-2</v>
      </c>
      <c r="F163">
        <v>3</v>
      </c>
      <c r="G163">
        <v>0.799479008567621</v>
      </c>
      <c r="H163">
        <v>1.12340285518238</v>
      </c>
      <c r="I163" t="s">
        <v>24</v>
      </c>
      <c r="J163" t="s">
        <v>26</v>
      </c>
      <c r="K163">
        <v>0.91054865977649502</v>
      </c>
      <c r="L163" t="s">
        <v>34</v>
      </c>
      <c r="M163">
        <f t="shared" si="6"/>
        <v>1</v>
      </c>
      <c r="N163">
        <f t="shared" si="7"/>
        <v>0.1</v>
      </c>
      <c r="O163" t="str">
        <f t="shared" si="8"/>
        <v>1 AB</v>
      </c>
      <c r="P163" t="s">
        <v>16</v>
      </c>
      <c r="Q163" t="s">
        <v>26</v>
      </c>
      <c r="R163" t="s">
        <v>11</v>
      </c>
      <c r="S163" t="s">
        <v>34</v>
      </c>
      <c r="AE163" t="s">
        <v>26</v>
      </c>
      <c r="AF163" t="s">
        <v>33</v>
      </c>
    </row>
    <row r="164" spans="1:32" x14ac:dyDescent="0.3">
      <c r="A164">
        <v>93</v>
      </c>
      <c r="B164" t="s">
        <v>11</v>
      </c>
      <c r="C164" t="s">
        <v>18</v>
      </c>
      <c r="D164">
        <v>1.076911467375</v>
      </c>
      <c r="E164">
        <v>5.0892272098504603E-2</v>
      </c>
      <c r="F164">
        <v>3</v>
      </c>
      <c r="G164">
        <v>0.91494954406761997</v>
      </c>
      <c r="H164">
        <v>1.2388733906823799</v>
      </c>
      <c r="I164" t="s">
        <v>25</v>
      </c>
      <c r="J164" t="s">
        <v>26</v>
      </c>
      <c r="K164">
        <v>1.0260191952764901</v>
      </c>
      <c r="L164" t="s">
        <v>34</v>
      </c>
      <c r="M164">
        <f t="shared" si="6"/>
        <v>1.1000000000000001</v>
      </c>
      <c r="N164">
        <f t="shared" si="7"/>
        <v>0.1</v>
      </c>
      <c r="O164" t="str">
        <f t="shared" si="8"/>
        <v>1.1 A</v>
      </c>
      <c r="P164" t="s">
        <v>18</v>
      </c>
      <c r="Q164" t="s">
        <v>26</v>
      </c>
      <c r="R164" t="s">
        <v>11</v>
      </c>
      <c r="S164" t="s">
        <v>34</v>
      </c>
      <c r="AE164" t="s">
        <v>26</v>
      </c>
      <c r="AF164" t="s">
        <v>33</v>
      </c>
    </row>
    <row r="165" spans="1:32" x14ac:dyDescent="0.3">
      <c r="A165">
        <v>94</v>
      </c>
      <c r="B165" t="s">
        <v>11</v>
      </c>
      <c r="C165" t="s">
        <v>20</v>
      </c>
      <c r="D165">
        <v>1.078738011125</v>
      </c>
      <c r="E165">
        <v>5.0892272098504603E-2</v>
      </c>
      <c r="F165">
        <v>3</v>
      </c>
      <c r="G165">
        <v>0.91677608781762099</v>
      </c>
      <c r="H165">
        <v>1.2406999344323799</v>
      </c>
      <c r="I165" t="s">
        <v>25</v>
      </c>
      <c r="J165" t="s">
        <v>26</v>
      </c>
      <c r="K165">
        <v>1.0278457390264999</v>
      </c>
      <c r="L165" t="s">
        <v>34</v>
      </c>
      <c r="M165">
        <f t="shared" si="6"/>
        <v>1.1000000000000001</v>
      </c>
      <c r="N165">
        <f t="shared" si="7"/>
        <v>0.1</v>
      </c>
      <c r="O165" t="str">
        <f t="shared" si="8"/>
        <v>1.1 A</v>
      </c>
      <c r="P165" t="s">
        <v>20</v>
      </c>
      <c r="Q165" t="s">
        <v>26</v>
      </c>
      <c r="R165" t="s">
        <v>11</v>
      </c>
      <c r="S165" t="s">
        <v>34</v>
      </c>
      <c r="AE165" t="s">
        <v>26</v>
      </c>
      <c r="AF165" t="s">
        <v>33</v>
      </c>
    </row>
    <row r="166" spans="1:32" x14ac:dyDescent="0.3">
      <c r="A166">
        <v>95</v>
      </c>
      <c r="B166" t="s">
        <v>11</v>
      </c>
      <c r="C166" t="s">
        <v>21</v>
      </c>
      <c r="D166">
        <v>1.0910332787499999</v>
      </c>
      <c r="E166">
        <v>5.0892272098504603E-2</v>
      </c>
      <c r="F166">
        <v>3</v>
      </c>
      <c r="G166">
        <v>0.92907135544262098</v>
      </c>
      <c r="H166">
        <v>1.25299520205738</v>
      </c>
      <c r="I166" t="s">
        <v>25</v>
      </c>
      <c r="J166" t="s">
        <v>26</v>
      </c>
      <c r="K166">
        <v>1.04014100665149</v>
      </c>
      <c r="L166" t="s">
        <v>34</v>
      </c>
      <c r="M166">
        <f t="shared" si="6"/>
        <v>1.1000000000000001</v>
      </c>
      <c r="N166">
        <f t="shared" si="7"/>
        <v>0.1</v>
      </c>
      <c r="O166" t="str">
        <f t="shared" si="8"/>
        <v>1.1 A</v>
      </c>
      <c r="P166" t="s">
        <v>21</v>
      </c>
      <c r="Q166" t="s">
        <v>26</v>
      </c>
      <c r="R166" t="s">
        <v>11</v>
      </c>
      <c r="S166" t="s">
        <v>34</v>
      </c>
      <c r="AE166" t="s">
        <v>26</v>
      </c>
      <c r="AF166" t="s">
        <v>33</v>
      </c>
    </row>
    <row r="167" spans="1:32" x14ac:dyDescent="0.3">
      <c r="A167">
        <v>96</v>
      </c>
      <c r="B167" t="s">
        <v>23</v>
      </c>
      <c r="C167" t="s">
        <v>12</v>
      </c>
      <c r="D167">
        <v>0.7715945595</v>
      </c>
      <c r="E167">
        <v>5.0892272098504603E-2</v>
      </c>
      <c r="F167">
        <v>3</v>
      </c>
      <c r="G167">
        <v>0.60963263619262098</v>
      </c>
      <c r="H167">
        <v>0.93355648280737902</v>
      </c>
      <c r="I167" t="s">
        <v>19</v>
      </c>
      <c r="J167" t="s">
        <v>26</v>
      </c>
      <c r="K167">
        <v>0.720702287401495</v>
      </c>
      <c r="L167" t="s">
        <v>34</v>
      </c>
      <c r="M167">
        <f t="shared" si="6"/>
        <v>0.8</v>
      </c>
      <c r="N167">
        <f t="shared" si="7"/>
        <v>0.1</v>
      </c>
      <c r="O167" t="str">
        <f t="shared" si="8"/>
        <v>0.8 BC</v>
      </c>
      <c r="P167" t="s">
        <v>12</v>
      </c>
      <c r="Q167" t="s">
        <v>26</v>
      </c>
      <c r="R167" t="s">
        <v>23</v>
      </c>
      <c r="S167" t="s">
        <v>34</v>
      </c>
      <c r="AE167" t="s">
        <v>26</v>
      </c>
      <c r="AF167" t="s">
        <v>33</v>
      </c>
    </row>
    <row r="168" spans="1:32" x14ac:dyDescent="0.3">
      <c r="A168">
        <v>97</v>
      </c>
      <c r="B168" t="s">
        <v>23</v>
      </c>
      <c r="C168" t="s">
        <v>16</v>
      </c>
      <c r="D168">
        <v>1.0831287708749999</v>
      </c>
      <c r="E168">
        <v>5.0892272098504603E-2</v>
      </c>
      <c r="F168">
        <v>3</v>
      </c>
      <c r="G168">
        <v>0.92116684756762102</v>
      </c>
      <c r="H168">
        <v>1.2450906941823801</v>
      </c>
      <c r="I168" t="s">
        <v>25</v>
      </c>
      <c r="J168" t="s">
        <v>26</v>
      </c>
      <c r="K168">
        <v>1.0322364987765</v>
      </c>
      <c r="L168" t="s">
        <v>34</v>
      </c>
      <c r="M168">
        <f t="shared" si="6"/>
        <v>1.1000000000000001</v>
      </c>
      <c r="N168">
        <f t="shared" si="7"/>
        <v>0.1</v>
      </c>
      <c r="O168" t="str">
        <f t="shared" si="8"/>
        <v>1.1 A</v>
      </c>
      <c r="P168" t="s">
        <v>16</v>
      </c>
      <c r="Q168" t="s">
        <v>26</v>
      </c>
      <c r="R168" t="s">
        <v>23</v>
      </c>
      <c r="S168" t="s">
        <v>34</v>
      </c>
      <c r="AE168" t="s">
        <v>26</v>
      </c>
      <c r="AF168" t="s">
        <v>33</v>
      </c>
    </row>
    <row r="169" spans="1:32" x14ac:dyDescent="0.3">
      <c r="A169">
        <v>98</v>
      </c>
      <c r="B169" t="s">
        <v>23</v>
      </c>
      <c r="C169" t="s">
        <v>18</v>
      </c>
      <c r="D169">
        <v>1.0551657568749999</v>
      </c>
      <c r="E169">
        <v>5.0892272098504603E-2</v>
      </c>
      <c r="F169">
        <v>3</v>
      </c>
      <c r="G169">
        <v>0.89320383356762101</v>
      </c>
      <c r="H169">
        <v>1.21712768018238</v>
      </c>
      <c r="I169" t="s">
        <v>25</v>
      </c>
      <c r="J169" t="s">
        <v>26</v>
      </c>
      <c r="K169">
        <v>1.00427348477649</v>
      </c>
      <c r="L169" t="s">
        <v>34</v>
      </c>
      <c r="M169">
        <f t="shared" si="6"/>
        <v>1.1000000000000001</v>
      </c>
      <c r="N169">
        <f t="shared" si="7"/>
        <v>0.1</v>
      </c>
      <c r="O169" t="str">
        <f t="shared" si="8"/>
        <v>1.1 A</v>
      </c>
      <c r="P169" t="s">
        <v>18</v>
      </c>
      <c r="Q169" t="s">
        <v>26</v>
      </c>
      <c r="R169" t="s">
        <v>23</v>
      </c>
      <c r="S169" t="s">
        <v>34</v>
      </c>
      <c r="AE169" t="s">
        <v>26</v>
      </c>
      <c r="AF169" t="s">
        <v>33</v>
      </c>
    </row>
    <row r="170" spans="1:32" x14ac:dyDescent="0.3">
      <c r="A170">
        <v>99</v>
      </c>
      <c r="B170" t="s">
        <v>23</v>
      </c>
      <c r="C170" t="s">
        <v>20</v>
      </c>
      <c r="D170">
        <v>1.0613226896250001</v>
      </c>
      <c r="E170">
        <v>5.0892272098504603E-2</v>
      </c>
      <c r="F170">
        <v>3</v>
      </c>
      <c r="G170">
        <v>0.89936076631762096</v>
      </c>
      <c r="H170">
        <v>1.22328461293238</v>
      </c>
      <c r="I170" t="s">
        <v>25</v>
      </c>
      <c r="J170" t="s">
        <v>26</v>
      </c>
      <c r="K170">
        <v>1.0104304175265</v>
      </c>
      <c r="L170" t="s">
        <v>34</v>
      </c>
      <c r="M170">
        <f t="shared" si="6"/>
        <v>1.1000000000000001</v>
      </c>
      <c r="N170">
        <f t="shared" si="7"/>
        <v>0.1</v>
      </c>
      <c r="O170" t="str">
        <f t="shared" si="8"/>
        <v>1.1 A</v>
      </c>
      <c r="P170" t="s">
        <v>20</v>
      </c>
      <c r="Q170" t="s">
        <v>26</v>
      </c>
      <c r="R170" t="s">
        <v>23</v>
      </c>
      <c r="S170" t="s">
        <v>34</v>
      </c>
      <c r="AE170" t="s">
        <v>26</v>
      </c>
      <c r="AF170" t="s">
        <v>34</v>
      </c>
    </row>
    <row r="171" spans="1:32" x14ac:dyDescent="0.3">
      <c r="A171">
        <v>100</v>
      </c>
      <c r="B171" t="s">
        <v>23</v>
      </c>
      <c r="C171" t="s">
        <v>21</v>
      </c>
      <c r="D171">
        <v>1.114887091375</v>
      </c>
      <c r="E171">
        <v>5.0892272098504603E-2</v>
      </c>
      <c r="F171">
        <v>3</v>
      </c>
      <c r="G171">
        <v>0.95292516806762095</v>
      </c>
      <c r="H171">
        <v>1.2768490146823801</v>
      </c>
      <c r="I171" t="s">
        <v>25</v>
      </c>
      <c r="J171" t="s">
        <v>26</v>
      </c>
      <c r="K171">
        <v>1.0639948192764901</v>
      </c>
      <c r="L171" t="s">
        <v>34</v>
      </c>
      <c r="M171">
        <f t="shared" si="6"/>
        <v>1.1000000000000001</v>
      </c>
      <c r="N171">
        <f t="shared" si="7"/>
        <v>0.1</v>
      </c>
      <c r="O171" t="str">
        <f t="shared" si="8"/>
        <v>1.1 A</v>
      </c>
      <c r="P171" t="s">
        <v>21</v>
      </c>
      <c r="Q171" t="s">
        <v>26</v>
      </c>
      <c r="R171" t="s">
        <v>23</v>
      </c>
      <c r="S171" t="s">
        <v>34</v>
      </c>
      <c r="AE171" t="s">
        <v>26</v>
      </c>
      <c r="AF171" t="s">
        <v>34</v>
      </c>
    </row>
    <row r="172" spans="1:32" x14ac:dyDescent="0.3">
      <c r="A172">
        <v>111</v>
      </c>
      <c r="B172" t="s">
        <v>11</v>
      </c>
      <c r="C172" t="s">
        <v>12</v>
      </c>
      <c r="D172">
        <v>8.9481257386567297</v>
      </c>
      <c r="E172">
        <v>0.166254348680105</v>
      </c>
      <c r="F172">
        <v>3</v>
      </c>
      <c r="G172">
        <v>8.4343688941908308</v>
      </c>
      <c r="H172">
        <v>9.4931766963570503</v>
      </c>
      <c r="I172" t="s">
        <v>25</v>
      </c>
      <c r="J172" t="s">
        <v>26</v>
      </c>
      <c r="K172">
        <v>8.7818713899766294</v>
      </c>
      <c r="L172" t="s">
        <v>35</v>
      </c>
      <c r="M172">
        <f t="shared" si="6"/>
        <v>8.9</v>
      </c>
      <c r="N172">
        <f t="shared" si="7"/>
        <v>0.2</v>
      </c>
      <c r="O172" t="str">
        <f t="shared" si="8"/>
        <v>8.9 A</v>
      </c>
      <c r="P172" t="s">
        <v>12</v>
      </c>
      <c r="Q172" t="s">
        <v>26</v>
      </c>
      <c r="R172" t="s">
        <v>11</v>
      </c>
      <c r="S172" t="s">
        <v>35</v>
      </c>
      <c r="T172" t="str">
        <f>O172</f>
        <v>8.9 A</v>
      </c>
      <c r="U172" t="str">
        <f>O173</f>
        <v>8.3 B</v>
      </c>
      <c r="V172" t="str">
        <f>O174</f>
        <v>7.3 DE</v>
      </c>
      <c r="W172" t="str">
        <f>O175</f>
        <v>7.8 BCD</v>
      </c>
      <c r="X172" t="str">
        <f>O176</f>
        <v>7.3 E</v>
      </c>
      <c r="Y172" t="str">
        <f>O177</f>
        <v>9 A</v>
      </c>
      <c r="Z172" t="str">
        <f>O178</f>
        <v>8.2 B</v>
      </c>
      <c r="AA172" t="str">
        <f>O179</f>
        <v>7.5 CDE</v>
      </c>
      <c r="AB172" t="str">
        <f>O180</f>
        <v>7.9 BC</v>
      </c>
      <c r="AC172" t="str">
        <f>O181</f>
        <v>7.4 CDE</v>
      </c>
      <c r="AD172">
        <v>1</v>
      </c>
      <c r="AE172" t="s">
        <v>26</v>
      </c>
      <c r="AF172" t="s">
        <v>34</v>
      </c>
    </row>
    <row r="173" spans="1:32" x14ac:dyDescent="0.3">
      <c r="A173">
        <v>112</v>
      </c>
      <c r="B173" t="s">
        <v>11</v>
      </c>
      <c r="C173" t="s">
        <v>16</v>
      </c>
      <c r="D173">
        <v>8.2990309573261101</v>
      </c>
      <c r="E173">
        <v>0.15419430021257199</v>
      </c>
      <c r="F173">
        <v>3</v>
      </c>
      <c r="G173">
        <v>7.8225419046140798</v>
      </c>
      <c r="H173">
        <v>8.8045440562015198</v>
      </c>
      <c r="I173" t="s">
        <v>28</v>
      </c>
      <c r="J173" t="s">
        <v>26</v>
      </c>
      <c r="K173">
        <v>8.1448366571135402</v>
      </c>
      <c r="L173" t="s">
        <v>35</v>
      </c>
      <c r="M173">
        <f t="shared" si="6"/>
        <v>8.3000000000000007</v>
      </c>
      <c r="N173">
        <f t="shared" si="7"/>
        <v>0.2</v>
      </c>
      <c r="O173" t="str">
        <f t="shared" si="8"/>
        <v>8.3 B</v>
      </c>
      <c r="P173" t="s">
        <v>16</v>
      </c>
      <c r="Q173" t="s">
        <v>26</v>
      </c>
      <c r="R173" t="s">
        <v>11</v>
      </c>
      <c r="S173" t="s">
        <v>35</v>
      </c>
      <c r="AE173" t="s">
        <v>26</v>
      </c>
      <c r="AF173" t="s">
        <v>34</v>
      </c>
    </row>
    <row r="174" spans="1:32" x14ac:dyDescent="0.3">
      <c r="A174">
        <v>113</v>
      </c>
      <c r="B174" t="s">
        <v>11</v>
      </c>
      <c r="C174" t="s">
        <v>18</v>
      </c>
      <c r="D174">
        <v>7.2981301575120696</v>
      </c>
      <c r="E174">
        <v>0.13559776777365101</v>
      </c>
      <c r="F174">
        <v>3</v>
      </c>
      <c r="G174">
        <v>6.8791078471720599</v>
      </c>
      <c r="H174">
        <v>7.7426760823182903</v>
      </c>
      <c r="I174" t="s">
        <v>37</v>
      </c>
      <c r="J174" t="s">
        <v>26</v>
      </c>
      <c r="K174">
        <v>7.1625323897384199</v>
      </c>
      <c r="L174" t="s">
        <v>35</v>
      </c>
      <c r="M174">
        <f t="shared" si="6"/>
        <v>7.3</v>
      </c>
      <c r="N174">
        <f t="shared" si="7"/>
        <v>0.1</v>
      </c>
      <c r="O174" t="str">
        <f t="shared" si="8"/>
        <v>7.3 DE</v>
      </c>
      <c r="P174" t="s">
        <v>18</v>
      </c>
      <c r="Q174" t="s">
        <v>26</v>
      </c>
      <c r="R174" t="s">
        <v>11</v>
      </c>
      <c r="S174" t="s">
        <v>35</v>
      </c>
      <c r="AE174" t="s">
        <v>26</v>
      </c>
      <c r="AF174" t="s">
        <v>34</v>
      </c>
    </row>
    <row r="175" spans="1:32" x14ac:dyDescent="0.3">
      <c r="A175">
        <v>114</v>
      </c>
      <c r="B175" t="s">
        <v>11</v>
      </c>
      <c r="C175" t="s">
        <v>20</v>
      </c>
      <c r="D175">
        <v>7.7932570736346598</v>
      </c>
      <c r="E175">
        <v>0.14479712475165199</v>
      </c>
      <c r="F175">
        <v>3</v>
      </c>
      <c r="G175">
        <v>7.34580704005218</v>
      </c>
      <c r="H175">
        <v>8.2679623198113799</v>
      </c>
      <c r="I175" t="s">
        <v>38</v>
      </c>
      <c r="J175" t="s">
        <v>26</v>
      </c>
      <c r="K175">
        <v>7.6484599488829996</v>
      </c>
      <c r="L175" t="s">
        <v>35</v>
      </c>
      <c r="M175">
        <f t="shared" si="6"/>
        <v>7.8</v>
      </c>
      <c r="N175">
        <f t="shared" si="7"/>
        <v>0.1</v>
      </c>
      <c r="O175" t="str">
        <f t="shared" si="8"/>
        <v>7.8 BCD</v>
      </c>
      <c r="P175" t="s">
        <v>20</v>
      </c>
      <c r="Q175" t="s">
        <v>26</v>
      </c>
      <c r="R175" t="s">
        <v>11</v>
      </c>
      <c r="S175" t="s">
        <v>35</v>
      </c>
      <c r="AE175" t="s">
        <v>26</v>
      </c>
      <c r="AF175" t="s">
        <v>34</v>
      </c>
    </row>
    <row r="176" spans="1:32" x14ac:dyDescent="0.3">
      <c r="A176">
        <v>115</v>
      </c>
      <c r="B176" t="s">
        <v>11</v>
      </c>
      <c r="C176" t="s">
        <v>21</v>
      </c>
      <c r="D176">
        <v>7.2559425866422096</v>
      </c>
      <c r="E176">
        <v>0.13481393132317901</v>
      </c>
      <c r="F176">
        <v>3</v>
      </c>
      <c r="G176">
        <v>6.8393424766510602</v>
      </c>
      <c r="H176">
        <v>7.69791876929491</v>
      </c>
      <c r="I176" t="s">
        <v>31</v>
      </c>
      <c r="J176" t="s">
        <v>26</v>
      </c>
      <c r="K176">
        <v>7.1211286553190298</v>
      </c>
      <c r="L176" t="s">
        <v>35</v>
      </c>
      <c r="M176">
        <f t="shared" si="6"/>
        <v>7.3</v>
      </c>
      <c r="N176">
        <f t="shared" si="7"/>
        <v>0.1</v>
      </c>
      <c r="O176" t="str">
        <f t="shared" si="8"/>
        <v>7.3 E</v>
      </c>
      <c r="P176" t="s">
        <v>21</v>
      </c>
      <c r="Q176" t="s">
        <v>26</v>
      </c>
      <c r="R176" t="s">
        <v>11</v>
      </c>
      <c r="S176" t="s">
        <v>35</v>
      </c>
      <c r="AE176" t="s">
        <v>26</v>
      </c>
      <c r="AF176" t="s">
        <v>34</v>
      </c>
    </row>
    <row r="177" spans="1:32" x14ac:dyDescent="0.3">
      <c r="A177">
        <v>116</v>
      </c>
      <c r="B177" t="s">
        <v>23</v>
      </c>
      <c r="C177" t="s">
        <v>12</v>
      </c>
      <c r="D177">
        <v>8.9960133254161398</v>
      </c>
      <c r="E177">
        <v>0.167144090261647</v>
      </c>
      <c r="F177">
        <v>3</v>
      </c>
      <c r="G177">
        <v>8.4795070140583793</v>
      </c>
      <c r="H177">
        <v>9.5439812263722299</v>
      </c>
      <c r="I177" t="s">
        <v>25</v>
      </c>
      <c r="J177" t="s">
        <v>26</v>
      </c>
      <c r="K177">
        <v>8.8288692351544995</v>
      </c>
      <c r="L177" t="s">
        <v>35</v>
      </c>
      <c r="M177">
        <f t="shared" si="6"/>
        <v>9</v>
      </c>
      <c r="N177">
        <f t="shared" si="7"/>
        <v>0.2</v>
      </c>
      <c r="O177" t="str">
        <f t="shared" si="8"/>
        <v>9 A</v>
      </c>
      <c r="P177" t="s">
        <v>12</v>
      </c>
      <c r="Q177" t="s">
        <v>26</v>
      </c>
      <c r="R177" t="s">
        <v>23</v>
      </c>
      <c r="S177" t="s">
        <v>35</v>
      </c>
      <c r="AE177" t="s">
        <v>26</v>
      </c>
      <c r="AF177" t="s">
        <v>34</v>
      </c>
    </row>
    <row r="178" spans="1:32" x14ac:dyDescent="0.3">
      <c r="A178">
        <v>117</v>
      </c>
      <c r="B178" t="s">
        <v>23</v>
      </c>
      <c r="C178" t="s">
        <v>16</v>
      </c>
      <c r="D178">
        <v>8.2387942934454692</v>
      </c>
      <c r="E178">
        <v>0.15307511530026399</v>
      </c>
      <c r="F178">
        <v>3</v>
      </c>
      <c r="G178">
        <v>7.7657637301713702</v>
      </c>
      <c r="H178">
        <v>8.7406382383219601</v>
      </c>
      <c r="I178" t="s">
        <v>28</v>
      </c>
      <c r="J178" t="s">
        <v>26</v>
      </c>
      <c r="K178">
        <v>8.0857191781451991</v>
      </c>
      <c r="L178" t="s">
        <v>35</v>
      </c>
      <c r="M178">
        <f t="shared" si="6"/>
        <v>8.1999999999999993</v>
      </c>
      <c r="N178">
        <f t="shared" si="7"/>
        <v>0.2</v>
      </c>
      <c r="O178" t="str">
        <f t="shared" si="8"/>
        <v>8.2 B</v>
      </c>
      <c r="P178" t="s">
        <v>16</v>
      </c>
      <c r="Q178" t="s">
        <v>26</v>
      </c>
      <c r="R178" t="s">
        <v>23</v>
      </c>
      <c r="S178" t="s">
        <v>35</v>
      </c>
      <c r="AE178" t="s">
        <v>26</v>
      </c>
      <c r="AF178" t="s">
        <v>34</v>
      </c>
    </row>
    <row r="179" spans="1:32" x14ac:dyDescent="0.3">
      <c r="A179">
        <v>118</v>
      </c>
      <c r="B179" t="s">
        <v>23</v>
      </c>
      <c r="C179" t="s">
        <v>18</v>
      </c>
      <c r="D179">
        <v>7.4562597450160499</v>
      </c>
      <c r="E179">
        <v>0.13853578321346</v>
      </c>
      <c r="F179">
        <v>3</v>
      </c>
      <c r="G179">
        <v>7.0281584207835799</v>
      </c>
      <c r="H179">
        <v>7.9104377073714804</v>
      </c>
      <c r="I179" t="s">
        <v>39</v>
      </c>
      <c r="J179" t="s">
        <v>26</v>
      </c>
      <c r="K179">
        <v>7.3177239618025904</v>
      </c>
      <c r="L179" t="s">
        <v>35</v>
      </c>
      <c r="M179">
        <f t="shared" si="6"/>
        <v>7.5</v>
      </c>
      <c r="N179">
        <f t="shared" si="7"/>
        <v>0.1</v>
      </c>
      <c r="O179" t="str">
        <f t="shared" si="8"/>
        <v>7.5 CDE</v>
      </c>
      <c r="P179" t="s">
        <v>18</v>
      </c>
      <c r="Q179" t="s">
        <v>26</v>
      </c>
      <c r="R179" t="s">
        <v>23</v>
      </c>
      <c r="S179" t="s">
        <v>35</v>
      </c>
      <c r="AE179" t="s">
        <v>26</v>
      </c>
      <c r="AF179" t="s">
        <v>35</v>
      </c>
    </row>
    <row r="180" spans="1:32" x14ac:dyDescent="0.3">
      <c r="A180">
        <v>119</v>
      </c>
      <c r="B180" t="s">
        <v>23</v>
      </c>
      <c r="C180" t="s">
        <v>20</v>
      </c>
      <c r="D180">
        <v>7.8547403157465299</v>
      </c>
      <c r="E180">
        <v>0.14593947083289799</v>
      </c>
      <c r="F180">
        <v>3</v>
      </c>
      <c r="G180">
        <v>7.4037602204083903</v>
      </c>
      <c r="H180">
        <v>8.3331906478746998</v>
      </c>
      <c r="I180" t="s">
        <v>19</v>
      </c>
      <c r="J180" t="s">
        <v>26</v>
      </c>
      <c r="K180">
        <v>7.7088008449136298</v>
      </c>
      <c r="L180" t="s">
        <v>35</v>
      </c>
      <c r="M180">
        <f t="shared" si="6"/>
        <v>7.9</v>
      </c>
      <c r="N180">
        <f t="shared" si="7"/>
        <v>0.1</v>
      </c>
      <c r="O180" t="str">
        <f t="shared" si="8"/>
        <v>7.9 BC</v>
      </c>
      <c r="P180" t="s">
        <v>20</v>
      </c>
      <c r="Q180" t="s">
        <v>26</v>
      </c>
      <c r="R180" t="s">
        <v>23</v>
      </c>
      <c r="S180" t="s">
        <v>35</v>
      </c>
      <c r="AE180" t="s">
        <v>26</v>
      </c>
      <c r="AF180" t="s">
        <v>35</v>
      </c>
    </row>
    <row r="181" spans="1:32" x14ac:dyDescent="0.3">
      <c r="A181">
        <v>120</v>
      </c>
      <c r="B181" t="s">
        <v>23</v>
      </c>
      <c r="C181" t="s">
        <v>21</v>
      </c>
      <c r="D181">
        <v>7.3824256338941003</v>
      </c>
      <c r="E181">
        <v>0.13716396050851901</v>
      </c>
      <c r="F181">
        <v>3</v>
      </c>
      <c r="G181">
        <v>6.9585634968447199</v>
      </c>
      <c r="H181">
        <v>7.8321061904068596</v>
      </c>
      <c r="I181" t="s">
        <v>39</v>
      </c>
      <c r="J181" t="s">
        <v>26</v>
      </c>
      <c r="K181">
        <v>7.2452616733855804</v>
      </c>
      <c r="L181" t="s">
        <v>35</v>
      </c>
      <c r="M181">
        <f t="shared" si="6"/>
        <v>7.4</v>
      </c>
      <c r="N181">
        <f t="shared" si="7"/>
        <v>0.1</v>
      </c>
      <c r="O181" t="str">
        <f t="shared" si="8"/>
        <v>7.4 CDE</v>
      </c>
      <c r="P181" t="s">
        <v>21</v>
      </c>
      <c r="Q181" t="s">
        <v>26</v>
      </c>
      <c r="R181" t="s">
        <v>23</v>
      </c>
      <c r="S181" t="s">
        <v>35</v>
      </c>
      <c r="AE181" t="s">
        <v>26</v>
      </c>
      <c r="AF181" t="s">
        <v>35</v>
      </c>
    </row>
    <row r="182" spans="1:32" x14ac:dyDescent="0.3">
      <c r="A182">
        <v>131</v>
      </c>
      <c r="B182" t="s">
        <v>11</v>
      </c>
      <c r="C182" t="s">
        <v>12</v>
      </c>
      <c r="D182">
        <v>2.0681045982482802</v>
      </c>
      <c r="E182">
        <v>0.16864209143903999</v>
      </c>
      <c r="F182">
        <v>3</v>
      </c>
      <c r="G182">
        <v>1.59539643831595</v>
      </c>
      <c r="H182">
        <v>2.6808738734620698</v>
      </c>
      <c r="I182" t="s">
        <v>19</v>
      </c>
      <c r="J182" t="s">
        <v>26</v>
      </c>
      <c r="K182">
        <v>1.8994625068092399</v>
      </c>
      <c r="L182" t="s">
        <v>40</v>
      </c>
      <c r="M182">
        <f t="shared" si="6"/>
        <v>2.1</v>
      </c>
      <c r="N182">
        <f t="shared" si="7"/>
        <v>0.2</v>
      </c>
      <c r="O182" t="str">
        <f t="shared" si="8"/>
        <v>2.1 BC</v>
      </c>
      <c r="P182" t="s">
        <v>12</v>
      </c>
      <c r="Q182" t="s">
        <v>26</v>
      </c>
      <c r="R182" t="s">
        <v>11</v>
      </c>
      <c r="S182" t="s">
        <v>40</v>
      </c>
      <c r="T182" t="str">
        <f>O182</f>
        <v>2.1 BC</v>
      </c>
      <c r="U182" t="str">
        <f>O183</f>
        <v>2.8 AB</v>
      </c>
      <c r="V182" t="str">
        <f>O184</f>
        <v>2.6 ABC</v>
      </c>
      <c r="W182" t="str">
        <f>O185</f>
        <v>2.6 ABC</v>
      </c>
      <c r="X182" t="str">
        <f>O186</f>
        <v>2.8 AB</v>
      </c>
      <c r="Y182" t="str">
        <f>O187</f>
        <v>1.9 C</v>
      </c>
      <c r="Z182" t="str">
        <f>O188</f>
        <v>2.4 ABC</v>
      </c>
      <c r="AA182" t="str">
        <f>O189</f>
        <v>3.2 A</v>
      </c>
      <c r="AB182" t="str">
        <f>O190</f>
        <v>3.1 A</v>
      </c>
      <c r="AC182" t="str">
        <f>O191</f>
        <v>3 AB</v>
      </c>
      <c r="AD182">
        <v>1</v>
      </c>
      <c r="AE182" t="s">
        <v>26</v>
      </c>
      <c r="AF182" t="s">
        <v>35</v>
      </c>
    </row>
    <row r="183" spans="1:32" x14ac:dyDescent="0.3">
      <c r="A183">
        <v>132</v>
      </c>
      <c r="B183" t="s">
        <v>11</v>
      </c>
      <c r="C183" t="s">
        <v>16</v>
      </c>
      <c r="D183">
        <v>2.8041366304863602</v>
      </c>
      <c r="E183">
        <v>0.22866129036538699</v>
      </c>
      <c r="F183">
        <v>3</v>
      </c>
      <c r="G183">
        <v>2.1631930979789602</v>
      </c>
      <c r="H183">
        <v>3.6349885961553099</v>
      </c>
      <c r="I183" t="s">
        <v>24</v>
      </c>
      <c r="J183" t="s">
        <v>26</v>
      </c>
      <c r="K183">
        <v>2.57547534012097</v>
      </c>
      <c r="L183" t="s">
        <v>40</v>
      </c>
      <c r="M183">
        <f t="shared" si="6"/>
        <v>2.8</v>
      </c>
      <c r="N183">
        <f t="shared" si="7"/>
        <v>0.2</v>
      </c>
      <c r="O183" t="str">
        <f t="shared" si="8"/>
        <v>2.8 AB</v>
      </c>
      <c r="P183" t="s">
        <v>16</v>
      </c>
      <c r="Q183" t="s">
        <v>26</v>
      </c>
      <c r="R183" t="s">
        <v>11</v>
      </c>
      <c r="S183" t="s">
        <v>40</v>
      </c>
      <c r="AE183" t="s">
        <v>26</v>
      </c>
      <c r="AF183" t="s">
        <v>35</v>
      </c>
    </row>
    <row r="184" spans="1:32" x14ac:dyDescent="0.3">
      <c r="A184">
        <v>133</v>
      </c>
      <c r="B184" t="s">
        <v>11</v>
      </c>
      <c r="C184" t="s">
        <v>18</v>
      </c>
      <c r="D184">
        <v>2.5804644746121599</v>
      </c>
      <c r="E184">
        <v>0.21042210643085399</v>
      </c>
      <c r="F184">
        <v>3</v>
      </c>
      <c r="G184">
        <v>1.9906458481278599</v>
      </c>
      <c r="H184">
        <v>3.3450434747083602</v>
      </c>
      <c r="I184" t="s">
        <v>22</v>
      </c>
      <c r="J184" t="s">
        <v>26</v>
      </c>
      <c r="K184">
        <v>2.3700423681812999</v>
      </c>
      <c r="L184" t="s">
        <v>40</v>
      </c>
      <c r="M184">
        <f t="shared" si="6"/>
        <v>2.6</v>
      </c>
      <c r="N184">
        <f t="shared" si="7"/>
        <v>0.2</v>
      </c>
      <c r="O184" t="str">
        <f t="shared" si="8"/>
        <v>2.6 ABC</v>
      </c>
      <c r="P184" t="s">
        <v>18</v>
      </c>
      <c r="Q184" t="s">
        <v>26</v>
      </c>
      <c r="R184" t="s">
        <v>11</v>
      </c>
      <c r="S184" t="s">
        <v>40</v>
      </c>
      <c r="AE184" t="s">
        <v>26</v>
      </c>
      <c r="AF184" t="s">
        <v>35</v>
      </c>
    </row>
    <row r="185" spans="1:32" x14ac:dyDescent="0.3">
      <c r="A185">
        <v>134</v>
      </c>
      <c r="B185" t="s">
        <v>11</v>
      </c>
      <c r="C185" t="s">
        <v>20</v>
      </c>
      <c r="D185">
        <v>2.59769279651948</v>
      </c>
      <c r="E185">
        <v>0.211826977461505</v>
      </c>
      <c r="F185">
        <v>3</v>
      </c>
      <c r="G185">
        <v>2.0039362800684799</v>
      </c>
      <c r="H185">
        <v>3.3673764641152002</v>
      </c>
      <c r="I185" t="s">
        <v>22</v>
      </c>
      <c r="J185" t="s">
        <v>26</v>
      </c>
      <c r="K185">
        <v>2.3858658190579698</v>
      </c>
      <c r="L185" t="s">
        <v>40</v>
      </c>
      <c r="M185">
        <f t="shared" si="6"/>
        <v>2.6</v>
      </c>
      <c r="N185">
        <f t="shared" si="7"/>
        <v>0.2</v>
      </c>
      <c r="O185" t="str">
        <f t="shared" si="8"/>
        <v>2.6 ABC</v>
      </c>
      <c r="P185" t="s">
        <v>20</v>
      </c>
      <c r="Q185" t="s">
        <v>26</v>
      </c>
      <c r="R185" t="s">
        <v>11</v>
      </c>
      <c r="S185" t="s">
        <v>40</v>
      </c>
      <c r="AE185" t="s">
        <v>26</v>
      </c>
      <c r="AF185" t="s">
        <v>35</v>
      </c>
    </row>
    <row r="186" spans="1:32" x14ac:dyDescent="0.3">
      <c r="A186">
        <v>135</v>
      </c>
      <c r="B186" t="s">
        <v>11</v>
      </c>
      <c r="C186" t="s">
        <v>21</v>
      </c>
      <c r="D186">
        <v>2.78510647697277</v>
      </c>
      <c r="E186">
        <v>0.227109490281554</v>
      </c>
      <c r="F186">
        <v>3</v>
      </c>
      <c r="G186">
        <v>2.1485126803821402</v>
      </c>
      <c r="H186">
        <v>3.6103199012518901</v>
      </c>
      <c r="I186" t="s">
        <v>24</v>
      </c>
      <c r="J186" t="s">
        <v>26</v>
      </c>
      <c r="K186">
        <v>2.55799698669122</v>
      </c>
      <c r="L186" t="s">
        <v>40</v>
      </c>
      <c r="M186">
        <f t="shared" si="6"/>
        <v>2.8</v>
      </c>
      <c r="N186">
        <f t="shared" si="7"/>
        <v>0.2</v>
      </c>
      <c r="O186" t="str">
        <f t="shared" si="8"/>
        <v>2.8 AB</v>
      </c>
      <c r="P186" t="s">
        <v>21</v>
      </c>
      <c r="Q186" t="s">
        <v>26</v>
      </c>
      <c r="R186" t="s">
        <v>11</v>
      </c>
      <c r="S186" t="s">
        <v>40</v>
      </c>
      <c r="AE186" t="s">
        <v>26</v>
      </c>
      <c r="AF186" t="s">
        <v>35</v>
      </c>
    </row>
    <row r="187" spans="1:32" x14ac:dyDescent="0.3">
      <c r="A187">
        <v>136</v>
      </c>
      <c r="B187" t="s">
        <v>23</v>
      </c>
      <c r="C187" t="s">
        <v>12</v>
      </c>
      <c r="D187">
        <v>1.8625665942915699</v>
      </c>
      <c r="E187">
        <v>0.15188164378720201</v>
      </c>
      <c r="F187">
        <v>3</v>
      </c>
      <c r="G187">
        <v>1.4368384041967599</v>
      </c>
      <c r="H187">
        <v>2.4144359644328</v>
      </c>
      <c r="I187" t="s">
        <v>17</v>
      </c>
      <c r="J187" t="s">
        <v>26</v>
      </c>
      <c r="K187">
        <v>1.71068495050437</v>
      </c>
      <c r="L187" t="s">
        <v>40</v>
      </c>
      <c r="M187">
        <f t="shared" si="6"/>
        <v>1.9</v>
      </c>
      <c r="N187">
        <f t="shared" si="7"/>
        <v>0.2</v>
      </c>
      <c r="O187" t="str">
        <f t="shared" si="8"/>
        <v>1.9 C</v>
      </c>
      <c r="P187" t="s">
        <v>12</v>
      </c>
      <c r="Q187" t="s">
        <v>26</v>
      </c>
      <c r="R187" t="s">
        <v>23</v>
      </c>
      <c r="S187" t="s">
        <v>40</v>
      </c>
      <c r="AE187" t="s">
        <v>26</v>
      </c>
      <c r="AF187" t="s">
        <v>35</v>
      </c>
    </row>
    <row r="188" spans="1:32" x14ac:dyDescent="0.3">
      <c r="A188">
        <v>137</v>
      </c>
      <c r="B188" t="s">
        <v>23</v>
      </c>
      <c r="C188" t="s">
        <v>16</v>
      </c>
      <c r="D188">
        <v>2.3539130878129502</v>
      </c>
      <c r="E188">
        <v>0.191948137696103</v>
      </c>
      <c r="F188">
        <v>3</v>
      </c>
      <c r="G188">
        <v>1.81587747524134</v>
      </c>
      <c r="H188">
        <v>3.0513660202986399</v>
      </c>
      <c r="I188" t="s">
        <v>22</v>
      </c>
      <c r="J188" t="s">
        <v>26</v>
      </c>
      <c r="K188">
        <v>2.1619649501168499</v>
      </c>
      <c r="L188" t="s">
        <v>40</v>
      </c>
      <c r="M188">
        <f t="shared" si="6"/>
        <v>2.4</v>
      </c>
      <c r="N188">
        <f t="shared" si="7"/>
        <v>0.2</v>
      </c>
      <c r="O188" t="str">
        <f t="shared" si="8"/>
        <v>2.4 ABC</v>
      </c>
      <c r="P188" t="s">
        <v>16</v>
      </c>
      <c r="Q188" t="s">
        <v>26</v>
      </c>
      <c r="R188" t="s">
        <v>23</v>
      </c>
      <c r="S188" t="s">
        <v>40</v>
      </c>
      <c r="AE188" t="s">
        <v>26</v>
      </c>
      <c r="AF188" t="s">
        <v>40</v>
      </c>
    </row>
    <row r="189" spans="1:32" x14ac:dyDescent="0.3">
      <c r="A189">
        <v>138</v>
      </c>
      <c r="B189" t="s">
        <v>23</v>
      </c>
      <c r="C189" t="s">
        <v>18</v>
      </c>
      <c r="D189">
        <v>3.1736347090544901</v>
      </c>
      <c r="E189">
        <v>0.258791743537444</v>
      </c>
      <c r="F189">
        <v>3</v>
      </c>
      <c r="G189">
        <v>2.4482347341764301</v>
      </c>
      <c r="H189">
        <v>4.11396714780438</v>
      </c>
      <c r="I189" t="s">
        <v>25</v>
      </c>
      <c r="J189" t="s">
        <v>26</v>
      </c>
      <c r="K189">
        <v>2.91484296551705</v>
      </c>
      <c r="L189" t="s">
        <v>40</v>
      </c>
      <c r="M189">
        <f t="shared" si="6"/>
        <v>3.2</v>
      </c>
      <c r="N189">
        <f t="shared" si="7"/>
        <v>0.3</v>
      </c>
      <c r="O189" t="str">
        <f t="shared" si="8"/>
        <v>3.2 A</v>
      </c>
      <c r="P189" t="s">
        <v>18</v>
      </c>
      <c r="Q189" t="s">
        <v>26</v>
      </c>
      <c r="R189" t="s">
        <v>23</v>
      </c>
      <c r="S189" t="s">
        <v>40</v>
      </c>
      <c r="AE189" t="s">
        <v>26</v>
      </c>
      <c r="AF189" t="s">
        <v>40</v>
      </c>
    </row>
    <row r="190" spans="1:32" x14ac:dyDescent="0.3">
      <c r="A190">
        <v>139</v>
      </c>
      <c r="B190" t="s">
        <v>23</v>
      </c>
      <c r="C190" t="s">
        <v>20</v>
      </c>
      <c r="D190">
        <v>3.0984751186080999</v>
      </c>
      <c r="E190">
        <v>0.25266290917610801</v>
      </c>
      <c r="F190">
        <v>3</v>
      </c>
      <c r="G190">
        <v>2.39025442553777</v>
      </c>
      <c r="H190">
        <v>4.0165381383923204</v>
      </c>
      <c r="I190" t="s">
        <v>25</v>
      </c>
      <c r="J190" t="s">
        <v>26</v>
      </c>
      <c r="K190">
        <v>2.84581220943199</v>
      </c>
      <c r="L190" t="s">
        <v>40</v>
      </c>
      <c r="M190">
        <f t="shared" si="6"/>
        <v>3.1</v>
      </c>
      <c r="N190">
        <f t="shared" si="7"/>
        <v>0.3</v>
      </c>
      <c r="O190" t="str">
        <f t="shared" si="8"/>
        <v>3.1 A</v>
      </c>
      <c r="P190" t="s">
        <v>20</v>
      </c>
      <c r="Q190" t="s">
        <v>26</v>
      </c>
      <c r="R190" t="s">
        <v>23</v>
      </c>
      <c r="S190" t="s">
        <v>40</v>
      </c>
      <c r="AE190" t="s">
        <v>26</v>
      </c>
      <c r="AF190" t="s">
        <v>40</v>
      </c>
    </row>
    <row r="191" spans="1:32" x14ac:dyDescent="0.3">
      <c r="A191">
        <v>140</v>
      </c>
      <c r="B191" t="s">
        <v>23</v>
      </c>
      <c r="C191" t="s">
        <v>21</v>
      </c>
      <c r="D191">
        <v>2.9898434939545302</v>
      </c>
      <c r="E191">
        <v>0.24380462203071099</v>
      </c>
      <c r="F191">
        <v>3</v>
      </c>
      <c r="G191">
        <v>2.30645280969707</v>
      </c>
      <c r="H191">
        <v>3.8757194947839801</v>
      </c>
      <c r="I191" t="s">
        <v>24</v>
      </c>
      <c r="J191" t="s">
        <v>26</v>
      </c>
      <c r="K191">
        <v>2.7460388719238198</v>
      </c>
      <c r="L191" t="s">
        <v>40</v>
      </c>
      <c r="M191">
        <f t="shared" si="6"/>
        <v>3</v>
      </c>
      <c r="N191">
        <f t="shared" si="7"/>
        <v>0.2</v>
      </c>
      <c r="O191" t="str">
        <f t="shared" si="8"/>
        <v>3 AB</v>
      </c>
      <c r="P191" t="s">
        <v>21</v>
      </c>
      <c r="Q191" t="s">
        <v>26</v>
      </c>
      <c r="R191" t="s">
        <v>23</v>
      </c>
      <c r="S191" t="s">
        <v>40</v>
      </c>
      <c r="AE191" t="s">
        <v>26</v>
      </c>
      <c r="AF191" t="s">
        <v>40</v>
      </c>
    </row>
    <row r="192" spans="1:32" x14ac:dyDescent="0.3">
      <c r="A192">
        <v>151</v>
      </c>
      <c r="B192" t="s">
        <v>11</v>
      </c>
      <c r="C192" t="s">
        <v>12</v>
      </c>
      <c r="D192">
        <v>9.4367106506943702E-2</v>
      </c>
      <c r="E192">
        <v>9.1624307333173696E-3</v>
      </c>
      <c r="F192">
        <v>3</v>
      </c>
      <c r="G192">
        <v>6.9282876194083506E-2</v>
      </c>
      <c r="H192">
        <v>0.128533214549966</v>
      </c>
      <c r="I192" t="s">
        <v>28</v>
      </c>
      <c r="J192" t="s">
        <v>26</v>
      </c>
      <c r="K192">
        <v>8.5204675773626296E-2</v>
      </c>
      <c r="L192" t="s">
        <v>41</v>
      </c>
      <c r="M192">
        <f t="shared" si="6"/>
        <v>0.1</v>
      </c>
      <c r="N192">
        <f t="shared" si="7"/>
        <v>0</v>
      </c>
      <c r="O192" t="str">
        <f t="shared" si="8"/>
        <v>0.1 B</v>
      </c>
      <c r="P192" t="s">
        <v>12</v>
      </c>
      <c r="Q192" t="s">
        <v>26</v>
      </c>
      <c r="R192" t="s">
        <v>11</v>
      </c>
      <c r="S192" t="s">
        <v>41</v>
      </c>
      <c r="T192" t="str">
        <f>O192</f>
        <v>0.1 B</v>
      </c>
      <c r="U192" t="str">
        <f>O193</f>
        <v>0.1 AB</v>
      </c>
      <c r="V192" t="str">
        <f>O194</f>
        <v>0.1 AB</v>
      </c>
      <c r="W192" t="str">
        <f>O195</f>
        <v>0.1 AB</v>
      </c>
      <c r="X192" t="str">
        <f>O196</f>
        <v>0.1 AB</v>
      </c>
      <c r="Y192" t="str">
        <f>O197</f>
        <v>0.1 B</v>
      </c>
      <c r="Z192" t="str">
        <f>O198</f>
        <v>0.1 AB</v>
      </c>
      <c r="AA192" t="str">
        <f>O199</f>
        <v>0.2 A</v>
      </c>
      <c r="AB192" t="str">
        <f>O200</f>
        <v>0.2 A</v>
      </c>
      <c r="AC192" t="str">
        <f>O201</f>
        <v>0.2 A</v>
      </c>
      <c r="AD192">
        <v>1</v>
      </c>
      <c r="AE192" t="s">
        <v>26</v>
      </c>
      <c r="AF192" t="s">
        <v>40</v>
      </c>
    </row>
    <row r="193" spans="1:32" x14ac:dyDescent="0.3">
      <c r="A193">
        <v>152</v>
      </c>
      <c r="B193" t="s">
        <v>11</v>
      </c>
      <c r="C193" t="s">
        <v>16</v>
      </c>
      <c r="D193">
        <v>0.13164607868589001</v>
      </c>
      <c r="E193">
        <v>1.2781975859178899E-2</v>
      </c>
      <c r="F193">
        <v>3</v>
      </c>
      <c r="G193">
        <v>9.6652523412487604E-2</v>
      </c>
      <c r="H193">
        <v>0.17930923499439999</v>
      </c>
      <c r="I193" t="s">
        <v>24</v>
      </c>
      <c r="J193" t="s">
        <v>26</v>
      </c>
      <c r="K193">
        <v>0.118864102826711</v>
      </c>
      <c r="L193" t="s">
        <v>41</v>
      </c>
      <c r="M193">
        <f t="shared" si="6"/>
        <v>0.1</v>
      </c>
      <c r="N193">
        <f t="shared" si="7"/>
        <v>0</v>
      </c>
      <c r="O193" t="str">
        <f t="shared" si="8"/>
        <v>0.1 AB</v>
      </c>
      <c r="P193" t="s">
        <v>16</v>
      </c>
      <c r="Q193" t="s">
        <v>26</v>
      </c>
      <c r="R193" t="s">
        <v>11</v>
      </c>
      <c r="S193" t="s">
        <v>41</v>
      </c>
      <c r="AE193" t="s">
        <v>26</v>
      </c>
      <c r="AF193" t="s">
        <v>40</v>
      </c>
    </row>
    <row r="194" spans="1:32" x14ac:dyDescent="0.3">
      <c r="A194">
        <v>153</v>
      </c>
      <c r="B194" t="s">
        <v>11</v>
      </c>
      <c r="C194" t="s">
        <v>18</v>
      </c>
      <c r="D194">
        <v>0.11793243978217401</v>
      </c>
      <c r="E194">
        <v>1.1450470939635899E-2</v>
      </c>
      <c r="F194">
        <v>3</v>
      </c>
      <c r="G194">
        <v>8.6584180941198297E-2</v>
      </c>
      <c r="H194">
        <v>0.16063050088123301</v>
      </c>
      <c r="I194" t="s">
        <v>24</v>
      </c>
      <c r="J194" t="s">
        <v>26</v>
      </c>
      <c r="K194">
        <v>0.10648196884253799</v>
      </c>
      <c r="L194" t="s">
        <v>41</v>
      </c>
      <c r="M194">
        <f t="shared" si="6"/>
        <v>0.1</v>
      </c>
      <c r="N194">
        <f t="shared" si="7"/>
        <v>0</v>
      </c>
      <c r="O194" t="str">
        <f t="shared" si="8"/>
        <v>0.1 AB</v>
      </c>
      <c r="P194" t="s">
        <v>18</v>
      </c>
      <c r="Q194" t="s">
        <v>26</v>
      </c>
      <c r="R194" t="s">
        <v>11</v>
      </c>
      <c r="S194" t="s">
        <v>41</v>
      </c>
      <c r="AE194" t="s">
        <v>26</v>
      </c>
      <c r="AF194" t="s">
        <v>40</v>
      </c>
    </row>
    <row r="195" spans="1:32" x14ac:dyDescent="0.3">
      <c r="A195">
        <v>154</v>
      </c>
      <c r="B195" t="s">
        <v>11</v>
      </c>
      <c r="C195" t="s">
        <v>20</v>
      </c>
      <c r="D195">
        <v>0.136323374304434</v>
      </c>
      <c r="E195">
        <v>1.32361107660387E-2</v>
      </c>
      <c r="F195">
        <v>3</v>
      </c>
      <c r="G195">
        <v>0.100086521817842</v>
      </c>
      <c r="H195">
        <v>0.18567997013194301</v>
      </c>
      <c r="I195" t="s">
        <v>24</v>
      </c>
      <c r="J195" t="s">
        <v>26</v>
      </c>
      <c r="K195">
        <v>0.123087263538396</v>
      </c>
      <c r="L195" t="s">
        <v>41</v>
      </c>
      <c r="M195">
        <f t="shared" ref="M195:M241" si="9">ROUND(D195,1)</f>
        <v>0.1</v>
      </c>
      <c r="N195">
        <f t="shared" ref="N195:N241" si="10">ROUND(E195,1)</f>
        <v>0</v>
      </c>
      <c r="O195" t="str">
        <f t="shared" ref="O195:O241" si="11">CONCATENATE(M195," ",I195)</f>
        <v>0.1 AB</v>
      </c>
      <c r="P195" t="s">
        <v>20</v>
      </c>
      <c r="Q195" t="s">
        <v>26</v>
      </c>
      <c r="R195" t="s">
        <v>11</v>
      </c>
      <c r="S195" t="s">
        <v>41</v>
      </c>
      <c r="AE195" t="s">
        <v>26</v>
      </c>
      <c r="AF195" t="s">
        <v>40</v>
      </c>
    </row>
    <row r="196" spans="1:32" x14ac:dyDescent="0.3">
      <c r="A196">
        <v>155</v>
      </c>
      <c r="B196" t="s">
        <v>11</v>
      </c>
      <c r="C196" t="s">
        <v>21</v>
      </c>
      <c r="D196">
        <v>0.140980061016899</v>
      </c>
      <c r="E196">
        <v>1.3688244682495901E-2</v>
      </c>
      <c r="F196">
        <v>3</v>
      </c>
      <c r="G196">
        <v>0.10350538948176299</v>
      </c>
      <c r="H196">
        <v>0.192022634800391</v>
      </c>
      <c r="I196" t="s">
        <v>24</v>
      </c>
      <c r="J196" t="s">
        <v>26</v>
      </c>
      <c r="K196">
        <v>0.12729181633440401</v>
      </c>
      <c r="L196" t="s">
        <v>41</v>
      </c>
      <c r="M196">
        <f t="shared" si="9"/>
        <v>0.1</v>
      </c>
      <c r="N196">
        <f t="shared" si="10"/>
        <v>0</v>
      </c>
      <c r="O196" t="str">
        <f t="shared" si="11"/>
        <v>0.1 AB</v>
      </c>
      <c r="P196" t="s">
        <v>21</v>
      </c>
      <c r="Q196" t="s">
        <v>26</v>
      </c>
      <c r="R196" t="s">
        <v>11</v>
      </c>
      <c r="S196" t="s">
        <v>41</v>
      </c>
      <c r="AE196" t="s">
        <v>26</v>
      </c>
      <c r="AF196" t="s">
        <v>40</v>
      </c>
    </row>
    <row r="197" spans="1:32" x14ac:dyDescent="0.3">
      <c r="A197">
        <v>156</v>
      </c>
      <c r="B197" t="s">
        <v>23</v>
      </c>
      <c r="C197" t="s">
        <v>12</v>
      </c>
      <c r="D197">
        <v>9.8218160443725194E-2</v>
      </c>
      <c r="E197">
        <v>9.5363429602799907E-3</v>
      </c>
      <c r="F197">
        <v>3</v>
      </c>
      <c r="G197">
        <v>7.2110260682121605E-2</v>
      </c>
      <c r="H197">
        <v>0.13377856285216699</v>
      </c>
      <c r="I197" t="s">
        <v>28</v>
      </c>
      <c r="J197" t="s">
        <v>26</v>
      </c>
      <c r="K197">
        <v>8.8681817483445197E-2</v>
      </c>
      <c r="L197" t="s">
        <v>41</v>
      </c>
      <c r="M197">
        <f t="shared" si="9"/>
        <v>0.1</v>
      </c>
      <c r="N197">
        <f t="shared" si="10"/>
        <v>0</v>
      </c>
      <c r="O197" t="str">
        <f t="shared" si="11"/>
        <v>0.1 B</v>
      </c>
      <c r="P197" t="s">
        <v>12</v>
      </c>
      <c r="Q197" t="s">
        <v>26</v>
      </c>
      <c r="R197" t="s">
        <v>23</v>
      </c>
      <c r="S197" t="s">
        <v>41</v>
      </c>
      <c r="AE197" t="s">
        <v>26</v>
      </c>
      <c r="AF197" t="s">
        <v>41</v>
      </c>
    </row>
    <row r="198" spans="1:32" x14ac:dyDescent="0.3">
      <c r="A198">
        <v>157</v>
      </c>
      <c r="B198" t="s">
        <v>23</v>
      </c>
      <c r="C198" t="s">
        <v>16</v>
      </c>
      <c r="D198">
        <v>0.11979562331725099</v>
      </c>
      <c r="E198">
        <v>1.1631373912244799E-2</v>
      </c>
      <c r="F198">
        <v>3</v>
      </c>
      <c r="G198">
        <v>8.7952101596666707E-2</v>
      </c>
      <c r="H198">
        <v>0.16316825983055999</v>
      </c>
      <c r="I198" t="s">
        <v>24</v>
      </c>
      <c r="J198" t="s">
        <v>26</v>
      </c>
      <c r="K198">
        <v>0.108164249405006</v>
      </c>
      <c r="L198" t="s">
        <v>41</v>
      </c>
      <c r="M198">
        <f t="shared" si="9"/>
        <v>0.1</v>
      </c>
      <c r="N198">
        <f t="shared" si="10"/>
        <v>0</v>
      </c>
      <c r="O198" t="str">
        <f t="shared" si="11"/>
        <v>0.1 AB</v>
      </c>
      <c r="P198" t="s">
        <v>16</v>
      </c>
      <c r="Q198" t="s">
        <v>26</v>
      </c>
      <c r="R198" t="s">
        <v>23</v>
      </c>
      <c r="S198" t="s">
        <v>41</v>
      </c>
      <c r="AE198" t="s">
        <v>26</v>
      </c>
      <c r="AF198" t="s">
        <v>41</v>
      </c>
    </row>
    <row r="199" spans="1:32" x14ac:dyDescent="0.3">
      <c r="A199">
        <v>158</v>
      </c>
      <c r="B199" t="s">
        <v>23</v>
      </c>
      <c r="C199" t="s">
        <v>18</v>
      </c>
      <c r="D199">
        <v>0.16168882522500599</v>
      </c>
      <c r="E199">
        <v>1.5698930658285801E-2</v>
      </c>
      <c r="F199">
        <v>3</v>
      </c>
      <c r="G199">
        <v>0.11870944521549601</v>
      </c>
      <c r="H199">
        <v>0.22022911618518701</v>
      </c>
      <c r="I199" t="s">
        <v>25</v>
      </c>
      <c r="J199" t="s">
        <v>26</v>
      </c>
      <c r="K199">
        <v>0.14598989456672101</v>
      </c>
      <c r="L199" t="s">
        <v>41</v>
      </c>
      <c r="M199">
        <f t="shared" si="9"/>
        <v>0.2</v>
      </c>
      <c r="N199">
        <f t="shared" si="10"/>
        <v>0</v>
      </c>
      <c r="O199" t="str">
        <f t="shared" si="11"/>
        <v>0.2 A</v>
      </c>
      <c r="P199" t="s">
        <v>18</v>
      </c>
      <c r="Q199" t="s">
        <v>26</v>
      </c>
      <c r="R199" t="s">
        <v>23</v>
      </c>
      <c r="S199" t="s">
        <v>41</v>
      </c>
      <c r="AE199" t="s">
        <v>26</v>
      </c>
      <c r="AF199" t="s">
        <v>41</v>
      </c>
    </row>
    <row r="200" spans="1:32" x14ac:dyDescent="0.3">
      <c r="A200">
        <v>159</v>
      </c>
      <c r="B200" t="s">
        <v>23</v>
      </c>
      <c r="C200" t="s">
        <v>20</v>
      </c>
      <c r="D200">
        <v>0.16411160165125999</v>
      </c>
      <c r="E200">
        <v>1.5934166451874902E-2</v>
      </c>
      <c r="F200">
        <v>3</v>
      </c>
      <c r="G200">
        <v>0.12048821035304701</v>
      </c>
      <c r="H200">
        <v>0.223529071579914</v>
      </c>
      <c r="I200" t="s">
        <v>25</v>
      </c>
      <c r="J200" t="s">
        <v>26</v>
      </c>
      <c r="K200">
        <v>0.148177435199386</v>
      </c>
      <c r="L200" t="s">
        <v>41</v>
      </c>
      <c r="M200">
        <f t="shared" si="9"/>
        <v>0.2</v>
      </c>
      <c r="N200">
        <f t="shared" si="10"/>
        <v>0</v>
      </c>
      <c r="O200" t="str">
        <f t="shared" si="11"/>
        <v>0.2 A</v>
      </c>
      <c r="P200" t="s">
        <v>20</v>
      </c>
      <c r="Q200" t="s">
        <v>26</v>
      </c>
      <c r="R200" t="s">
        <v>23</v>
      </c>
      <c r="S200" t="s">
        <v>41</v>
      </c>
      <c r="AE200" t="s">
        <v>26</v>
      </c>
      <c r="AF200" t="s">
        <v>41</v>
      </c>
    </row>
    <row r="201" spans="1:32" x14ac:dyDescent="0.3">
      <c r="A201">
        <v>160</v>
      </c>
      <c r="B201" t="s">
        <v>23</v>
      </c>
      <c r="C201" t="s">
        <v>21</v>
      </c>
      <c r="D201">
        <v>0.16208615186780001</v>
      </c>
      <c r="E201">
        <v>1.5737508484584099E-2</v>
      </c>
      <c r="F201">
        <v>3</v>
      </c>
      <c r="G201">
        <v>0.11900115631717401</v>
      </c>
      <c r="H201">
        <v>0.22077029703214701</v>
      </c>
      <c r="I201" t="s">
        <v>25</v>
      </c>
      <c r="J201" t="s">
        <v>26</v>
      </c>
      <c r="K201">
        <v>0.14634864338321599</v>
      </c>
      <c r="L201" t="s">
        <v>41</v>
      </c>
      <c r="M201">
        <f t="shared" si="9"/>
        <v>0.2</v>
      </c>
      <c r="N201">
        <f t="shared" si="10"/>
        <v>0</v>
      </c>
      <c r="O201" t="str">
        <f t="shared" si="11"/>
        <v>0.2 A</v>
      </c>
      <c r="P201" t="s">
        <v>21</v>
      </c>
      <c r="Q201" t="s">
        <v>26</v>
      </c>
      <c r="R201" t="s">
        <v>23</v>
      </c>
      <c r="S201" t="s">
        <v>41</v>
      </c>
      <c r="AE201" t="s">
        <v>26</v>
      </c>
      <c r="AF201" t="s">
        <v>41</v>
      </c>
    </row>
    <row r="202" spans="1:32" x14ac:dyDescent="0.3">
      <c r="A202">
        <v>171</v>
      </c>
      <c r="B202" t="s">
        <v>11</v>
      </c>
      <c r="C202" t="s">
        <v>12</v>
      </c>
      <c r="D202">
        <v>21.9155241355501</v>
      </c>
      <c r="E202">
        <v>1.31594136667164</v>
      </c>
      <c r="F202">
        <v>3</v>
      </c>
      <c r="G202">
        <v>18.103437139577402</v>
      </c>
      <c r="H202">
        <v>26.5303320266116</v>
      </c>
      <c r="I202" t="s">
        <v>25</v>
      </c>
      <c r="J202" t="s">
        <v>26</v>
      </c>
      <c r="K202">
        <v>20.599582768878498</v>
      </c>
      <c r="L202" t="s">
        <v>42</v>
      </c>
      <c r="M202">
        <f t="shared" si="9"/>
        <v>21.9</v>
      </c>
      <c r="N202">
        <f t="shared" si="10"/>
        <v>1.3</v>
      </c>
      <c r="O202" t="str">
        <f t="shared" si="11"/>
        <v>21.9 A</v>
      </c>
      <c r="P202" t="s">
        <v>12</v>
      </c>
      <c r="Q202" t="s">
        <v>26</v>
      </c>
      <c r="R202" t="s">
        <v>11</v>
      </c>
      <c r="S202" t="s">
        <v>42</v>
      </c>
      <c r="T202" t="str">
        <f>O202</f>
        <v>21.9 A</v>
      </c>
      <c r="U202" t="str">
        <f>O203</f>
        <v>21.3 A</v>
      </c>
      <c r="V202" t="str">
        <f>O204</f>
        <v>21.9 A</v>
      </c>
      <c r="W202" t="str">
        <f>O205</f>
        <v>19.1 A</v>
      </c>
      <c r="X202" t="str">
        <f>O206</f>
        <v>19.8 A</v>
      </c>
      <c r="Y202" t="str">
        <f>O207</f>
        <v>19 A</v>
      </c>
      <c r="Z202" t="str">
        <f>O208</f>
        <v>19.6 A</v>
      </c>
      <c r="AA202" t="str">
        <f>O209</f>
        <v>19.6 A</v>
      </c>
      <c r="AB202" t="str">
        <f>O210</f>
        <v>18.9 A</v>
      </c>
      <c r="AC202" t="str">
        <f>O211</f>
        <v>18.4 A</v>
      </c>
      <c r="AD202">
        <v>1</v>
      </c>
      <c r="AE202" t="s">
        <v>26</v>
      </c>
      <c r="AF202" t="s">
        <v>41</v>
      </c>
    </row>
    <row r="203" spans="1:32" x14ac:dyDescent="0.3">
      <c r="A203">
        <v>172</v>
      </c>
      <c r="B203" t="s">
        <v>11</v>
      </c>
      <c r="C203" t="s">
        <v>16</v>
      </c>
      <c r="D203">
        <v>21.300570895807301</v>
      </c>
      <c r="E203">
        <v>1.27901583380548</v>
      </c>
      <c r="F203">
        <v>3</v>
      </c>
      <c r="G203">
        <v>17.595451692795201</v>
      </c>
      <c r="H203">
        <v>25.785886512541001</v>
      </c>
      <c r="I203" t="s">
        <v>25</v>
      </c>
      <c r="J203" t="s">
        <v>26</v>
      </c>
      <c r="K203">
        <v>20.021555062001799</v>
      </c>
      <c r="L203" t="s">
        <v>42</v>
      </c>
      <c r="M203">
        <f t="shared" si="9"/>
        <v>21.3</v>
      </c>
      <c r="N203">
        <f t="shared" si="10"/>
        <v>1.3</v>
      </c>
      <c r="O203" t="str">
        <f t="shared" si="11"/>
        <v>21.3 A</v>
      </c>
      <c r="P203" t="s">
        <v>16</v>
      </c>
      <c r="Q203" t="s">
        <v>26</v>
      </c>
      <c r="R203" t="s">
        <v>11</v>
      </c>
      <c r="S203" t="s">
        <v>42</v>
      </c>
      <c r="AE203" t="s">
        <v>26</v>
      </c>
      <c r="AF203" t="s">
        <v>41</v>
      </c>
    </row>
    <row r="204" spans="1:32" x14ac:dyDescent="0.3">
      <c r="A204">
        <v>173</v>
      </c>
      <c r="B204" t="s">
        <v>11</v>
      </c>
      <c r="C204" t="s">
        <v>18</v>
      </c>
      <c r="D204">
        <v>21.8808707890325</v>
      </c>
      <c r="E204">
        <v>1.31386056897343</v>
      </c>
      <c r="F204">
        <v>3</v>
      </c>
      <c r="G204">
        <v>18.074811555426201</v>
      </c>
      <c r="H204">
        <v>26.488381636410601</v>
      </c>
      <c r="I204" t="s">
        <v>25</v>
      </c>
      <c r="J204" t="s">
        <v>26</v>
      </c>
      <c r="K204">
        <v>20.567010220059</v>
      </c>
      <c r="L204" t="s">
        <v>42</v>
      </c>
      <c r="M204">
        <f t="shared" si="9"/>
        <v>21.9</v>
      </c>
      <c r="N204">
        <f t="shared" si="10"/>
        <v>1.3</v>
      </c>
      <c r="O204" t="str">
        <f t="shared" si="11"/>
        <v>21.9 A</v>
      </c>
      <c r="P204" t="s">
        <v>18</v>
      </c>
      <c r="Q204" t="s">
        <v>26</v>
      </c>
      <c r="R204" t="s">
        <v>11</v>
      </c>
      <c r="S204" t="s">
        <v>42</v>
      </c>
      <c r="AE204" t="s">
        <v>26</v>
      </c>
      <c r="AF204" t="s">
        <v>41</v>
      </c>
    </row>
    <row r="205" spans="1:32" x14ac:dyDescent="0.3">
      <c r="A205">
        <v>174</v>
      </c>
      <c r="B205" t="s">
        <v>11</v>
      </c>
      <c r="C205" t="s">
        <v>20</v>
      </c>
      <c r="D205">
        <v>19.055373358933998</v>
      </c>
      <c r="E205">
        <v>1.1442005176466401</v>
      </c>
      <c r="F205">
        <v>3</v>
      </c>
      <c r="G205">
        <v>15.7407941348321</v>
      </c>
      <c r="H205">
        <v>23.0679119959308</v>
      </c>
      <c r="I205" t="s">
        <v>25</v>
      </c>
      <c r="J205" t="s">
        <v>26</v>
      </c>
      <c r="K205">
        <v>17.9111728412873</v>
      </c>
      <c r="L205" t="s">
        <v>42</v>
      </c>
      <c r="M205">
        <f t="shared" si="9"/>
        <v>19.100000000000001</v>
      </c>
      <c r="N205">
        <f t="shared" si="10"/>
        <v>1.1000000000000001</v>
      </c>
      <c r="O205" t="str">
        <f t="shared" si="11"/>
        <v>19.1 A</v>
      </c>
      <c r="P205" t="s">
        <v>20</v>
      </c>
      <c r="Q205" t="s">
        <v>26</v>
      </c>
      <c r="R205" t="s">
        <v>11</v>
      </c>
      <c r="S205" t="s">
        <v>42</v>
      </c>
      <c r="AE205" t="s">
        <v>26</v>
      </c>
      <c r="AF205" t="s">
        <v>41</v>
      </c>
    </row>
    <row r="206" spans="1:32" x14ac:dyDescent="0.3">
      <c r="A206">
        <v>175</v>
      </c>
      <c r="B206" t="s">
        <v>11</v>
      </c>
      <c r="C206" t="s">
        <v>21</v>
      </c>
      <c r="D206">
        <v>19.755321810413999</v>
      </c>
      <c r="E206">
        <v>1.1862296799948999</v>
      </c>
      <c r="F206">
        <v>3</v>
      </c>
      <c r="G206">
        <v>16.318990335568099</v>
      </c>
      <c r="H206">
        <v>23.915250380558099</v>
      </c>
      <c r="I206" t="s">
        <v>25</v>
      </c>
      <c r="J206" t="s">
        <v>26</v>
      </c>
      <c r="K206">
        <v>18.569092130419101</v>
      </c>
      <c r="L206" t="s">
        <v>42</v>
      </c>
      <c r="M206">
        <f t="shared" si="9"/>
        <v>19.8</v>
      </c>
      <c r="N206">
        <f t="shared" si="10"/>
        <v>1.2</v>
      </c>
      <c r="O206" t="str">
        <f t="shared" si="11"/>
        <v>19.8 A</v>
      </c>
      <c r="P206" t="s">
        <v>21</v>
      </c>
      <c r="Q206" t="s">
        <v>26</v>
      </c>
      <c r="R206" t="s">
        <v>11</v>
      </c>
      <c r="S206" t="s">
        <v>42</v>
      </c>
      <c r="AE206" t="s">
        <v>26</v>
      </c>
      <c r="AF206" t="s">
        <v>42</v>
      </c>
    </row>
    <row r="207" spans="1:32" x14ac:dyDescent="0.3">
      <c r="A207">
        <v>176</v>
      </c>
      <c r="B207" t="s">
        <v>23</v>
      </c>
      <c r="C207" t="s">
        <v>12</v>
      </c>
      <c r="D207">
        <v>18.9635662830356</v>
      </c>
      <c r="E207">
        <v>1.1386878624082499</v>
      </c>
      <c r="F207">
        <v>3</v>
      </c>
      <c r="G207">
        <v>15.6649564036779</v>
      </c>
      <c r="H207">
        <v>22.9567728695786</v>
      </c>
      <c r="I207" t="s">
        <v>25</v>
      </c>
      <c r="J207" t="s">
        <v>26</v>
      </c>
      <c r="K207">
        <v>17.8248784206274</v>
      </c>
      <c r="L207" t="s">
        <v>42</v>
      </c>
      <c r="M207">
        <f t="shared" si="9"/>
        <v>19</v>
      </c>
      <c r="N207">
        <f t="shared" si="10"/>
        <v>1.1000000000000001</v>
      </c>
      <c r="O207" t="str">
        <f t="shared" si="11"/>
        <v>19 A</v>
      </c>
      <c r="P207" t="s">
        <v>12</v>
      </c>
      <c r="Q207" t="s">
        <v>26</v>
      </c>
      <c r="R207" t="s">
        <v>23</v>
      </c>
      <c r="S207" t="s">
        <v>42</v>
      </c>
      <c r="AE207" t="s">
        <v>26</v>
      </c>
      <c r="AF207" t="s">
        <v>42</v>
      </c>
    </row>
    <row r="208" spans="1:32" x14ac:dyDescent="0.3">
      <c r="A208">
        <v>177</v>
      </c>
      <c r="B208" t="s">
        <v>23</v>
      </c>
      <c r="C208" t="s">
        <v>16</v>
      </c>
      <c r="D208">
        <v>19.649408081064198</v>
      </c>
      <c r="E208">
        <v>1.17986997548189</v>
      </c>
      <c r="F208">
        <v>3</v>
      </c>
      <c r="G208">
        <v>16.231499727100701</v>
      </c>
      <c r="H208">
        <v>23.787034126707798</v>
      </c>
      <c r="I208" t="s">
        <v>25</v>
      </c>
      <c r="J208" t="s">
        <v>26</v>
      </c>
      <c r="K208">
        <v>18.469538105582298</v>
      </c>
      <c r="L208" t="s">
        <v>42</v>
      </c>
      <c r="M208">
        <f t="shared" si="9"/>
        <v>19.600000000000001</v>
      </c>
      <c r="N208">
        <f t="shared" si="10"/>
        <v>1.2</v>
      </c>
      <c r="O208" t="str">
        <f t="shared" si="11"/>
        <v>19.6 A</v>
      </c>
      <c r="P208" t="s">
        <v>16</v>
      </c>
      <c r="Q208" t="s">
        <v>26</v>
      </c>
      <c r="R208" t="s">
        <v>23</v>
      </c>
      <c r="S208" t="s">
        <v>42</v>
      </c>
      <c r="AE208" t="s">
        <v>26</v>
      </c>
      <c r="AF208" t="s">
        <v>42</v>
      </c>
    </row>
    <row r="209" spans="1:32" x14ac:dyDescent="0.3">
      <c r="A209">
        <v>178</v>
      </c>
      <c r="B209" t="s">
        <v>23</v>
      </c>
      <c r="C209" t="s">
        <v>18</v>
      </c>
      <c r="D209">
        <v>19.6280398691237</v>
      </c>
      <c r="E209">
        <v>1.17858689806834</v>
      </c>
      <c r="F209">
        <v>3</v>
      </c>
      <c r="G209">
        <v>16.2138484001573</v>
      </c>
      <c r="H209">
        <v>23.761166355802999</v>
      </c>
      <c r="I209" t="s">
        <v>25</v>
      </c>
      <c r="J209" t="s">
        <v>26</v>
      </c>
      <c r="K209">
        <v>18.449452971055301</v>
      </c>
      <c r="L209" t="s">
        <v>42</v>
      </c>
      <c r="M209">
        <f t="shared" si="9"/>
        <v>19.600000000000001</v>
      </c>
      <c r="N209">
        <f t="shared" si="10"/>
        <v>1.2</v>
      </c>
      <c r="O209" t="str">
        <f t="shared" si="11"/>
        <v>19.6 A</v>
      </c>
      <c r="P209" t="s">
        <v>18</v>
      </c>
      <c r="Q209" t="s">
        <v>26</v>
      </c>
      <c r="R209" t="s">
        <v>23</v>
      </c>
      <c r="S209" t="s">
        <v>42</v>
      </c>
      <c r="AE209" t="s">
        <v>26</v>
      </c>
      <c r="AF209" t="s">
        <v>42</v>
      </c>
    </row>
    <row r="210" spans="1:32" x14ac:dyDescent="0.3">
      <c r="A210">
        <v>179</v>
      </c>
      <c r="B210" t="s">
        <v>23</v>
      </c>
      <c r="C210" t="s">
        <v>20</v>
      </c>
      <c r="D210">
        <v>18.8802929688764</v>
      </c>
      <c r="E210">
        <v>1.13368762612989</v>
      </c>
      <c r="F210">
        <v>3</v>
      </c>
      <c r="G210">
        <v>15.596168032523201</v>
      </c>
      <c r="H210">
        <v>22.855964480970801</v>
      </c>
      <c r="I210" t="s">
        <v>25</v>
      </c>
      <c r="J210" t="s">
        <v>26</v>
      </c>
      <c r="K210">
        <v>17.746605342746498</v>
      </c>
      <c r="L210" t="s">
        <v>42</v>
      </c>
      <c r="M210">
        <f t="shared" si="9"/>
        <v>18.899999999999999</v>
      </c>
      <c r="N210">
        <f t="shared" si="10"/>
        <v>1.1000000000000001</v>
      </c>
      <c r="O210" t="str">
        <f t="shared" si="11"/>
        <v>18.9 A</v>
      </c>
      <c r="P210" t="s">
        <v>20</v>
      </c>
      <c r="Q210" t="s">
        <v>26</v>
      </c>
      <c r="R210" t="s">
        <v>23</v>
      </c>
      <c r="S210" t="s">
        <v>42</v>
      </c>
      <c r="AE210" t="s">
        <v>26</v>
      </c>
      <c r="AF210" t="s">
        <v>42</v>
      </c>
    </row>
    <row r="211" spans="1:32" x14ac:dyDescent="0.3">
      <c r="A211">
        <v>180</v>
      </c>
      <c r="B211" t="s">
        <v>23</v>
      </c>
      <c r="C211" t="s">
        <v>21</v>
      </c>
      <c r="D211">
        <v>18.4460144231154</v>
      </c>
      <c r="E211">
        <v>1.1076109008145301</v>
      </c>
      <c r="F211">
        <v>3</v>
      </c>
      <c r="G211">
        <v>15.237429893037101</v>
      </c>
      <c r="H211">
        <v>22.33023879265</v>
      </c>
      <c r="I211" t="s">
        <v>25</v>
      </c>
      <c r="J211" t="s">
        <v>26</v>
      </c>
      <c r="K211">
        <v>17.338403522300901</v>
      </c>
      <c r="L211" t="s">
        <v>42</v>
      </c>
      <c r="M211">
        <f t="shared" si="9"/>
        <v>18.399999999999999</v>
      </c>
      <c r="N211">
        <f t="shared" si="10"/>
        <v>1.1000000000000001</v>
      </c>
      <c r="O211" t="str">
        <f t="shared" si="11"/>
        <v>18.4 A</v>
      </c>
      <c r="P211" t="s">
        <v>21</v>
      </c>
      <c r="Q211" t="s">
        <v>26</v>
      </c>
      <c r="R211" t="s">
        <v>23</v>
      </c>
      <c r="S211" t="s">
        <v>42</v>
      </c>
      <c r="AE211" t="s">
        <v>26</v>
      </c>
      <c r="AF211" t="s">
        <v>42</v>
      </c>
    </row>
    <row r="212" spans="1:32" x14ac:dyDescent="0.3">
      <c r="A212">
        <v>191</v>
      </c>
      <c r="B212" t="s">
        <v>11</v>
      </c>
      <c r="C212" t="s">
        <v>12</v>
      </c>
      <c r="D212">
        <v>457.87750091250001</v>
      </c>
      <c r="E212">
        <v>60.391181254345902</v>
      </c>
      <c r="F212">
        <v>3</v>
      </c>
      <c r="G212">
        <v>265.68580925788802</v>
      </c>
      <c r="H212">
        <v>650.06919256711103</v>
      </c>
      <c r="I212" t="s">
        <v>25</v>
      </c>
      <c r="J212" t="s">
        <v>26</v>
      </c>
      <c r="K212">
        <v>397.486319658154</v>
      </c>
      <c r="L212" t="s">
        <v>43</v>
      </c>
      <c r="M212">
        <f t="shared" si="9"/>
        <v>457.9</v>
      </c>
      <c r="N212">
        <f t="shared" si="10"/>
        <v>60.4</v>
      </c>
      <c r="O212" t="str">
        <f t="shared" si="11"/>
        <v>457.9 A</v>
      </c>
      <c r="P212" t="s">
        <v>12</v>
      </c>
      <c r="Q212" t="s">
        <v>26</v>
      </c>
      <c r="R212" t="s">
        <v>11</v>
      </c>
      <c r="S212" t="s">
        <v>43</v>
      </c>
      <c r="T212" t="str">
        <f>O212</f>
        <v>457.9 A</v>
      </c>
      <c r="U212" t="str">
        <f>O213</f>
        <v>502.9 A</v>
      </c>
      <c r="V212" t="str">
        <f>O214</f>
        <v>607.7 A</v>
      </c>
      <c r="W212" t="str">
        <f>O215</f>
        <v>581.7 A</v>
      </c>
      <c r="X212" t="str">
        <f>O216</f>
        <v>621.1 A</v>
      </c>
      <c r="Y212" t="str">
        <f>O217</f>
        <v>515.1 A</v>
      </c>
      <c r="Z212" t="str">
        <f>O218</f>
        <v>679.9 A</v>
      </c>
      <c r="AA212" t="str">
        <f>O219</f>
        <v>607 A</v>
      </c>
      <c r="AB212" t="str">
        <f>O220</f>
        <v>589 A</v>
      </c>
      <c r="AC212" t="str">
        <f>O221</f>
        <v>641.1 A</v>
      </c>
      <c r="AD212">
        <v>1</v>
      </c>
      <c r="AE212" t="s">
        <v>26</v>
      </c>
      <c r="AF212" t="s">
        <v>42</v>
      </c>
    </row>
    <row r="213" spans="1:32" x14ac:dyDescent="0.3">
      <c r="A213">
        <v>192</v>
      </c>
      <c r="B213" t="s">
        <v>11</v>
      </c>
      <c r="C213" t="s">
        <v>16</v>
      </c>
      <c r="D213">
        <v>502.91843187500001</v>
      </c>
      <c r="E213">
        <v>60.391181254345902</v>
      </c>
      <c r="F213">
        <v>3</v>
      </c>
      <c r="G213">
        <v>310.72674022038802</v>
      </c>
      <c r="H213">
        <v>695.110123529612</v>
      </c>
      <c r="I213" t="s">
        <v>25</v>
      </c>
      <c r="J213" t="s">
        <v>26</v>
      </c>
      <c r="K213">
        <v>442.527250620654</v>
      </c>
      <c r="L213" t="s">
        <v>43</v>
      </c>
      <c r="M213">
        <f t="shared" si="9"/>
        <v>502.9</v>
      </c>
      <c r="N213">
        <f t="shared" si="10"/>
        <v>60.4</v>
      </c>
      <c r="O213" t="str">
        <f t="shared" si="11"/>
        <v>502.9 A</v>
      </c>
      <c r="P213" t="s">
        <v>16</v>
      </c>
      <c r="Q213" t="s">
        <v>26</v>
      </c>
      <c r="R213" t="s">
        <v>11</v>
      </c>
      <c r="S213" t="s">
        <v>43</v>
      </c>
      <c r="AE213" t="s">
        <v>26</v>
      </c>
      <c r="AF213" t="s">
        <v>42</v>
      </c>
    </row>
    <row r="214" spans="1:32" x14ac:dyDescent="0.3">
      <c r="A214">
        <v>193</v>
      </c>
      <c r="B214" t="s">
        <v>11</v>
      </c>
      <c r="C214" t="s">
        <v>18</v>
      </c>
      <c r="D214">
        <v>607.73283574999903</v>
      </c>
      <c r="E214">
        <v>60.391181254345902</v>
      </c>
      <c r="F214">
        <v>3</v>
      </c>
      <c r="G214">
        <v>415.54114409538698</v>
      </c>
      <c r="H214">
        <v>799.92452740461101</v>
      </c>
      <c r="I214" t="s">
        <v>25</v>
      </c>
      <c r="J214" t="s">
        <v>26</v>
      </c>
      <c r="K214">
        <v>547.34165449565296</v>
      </c>
      <c r="L214" t="s">
        <v>43</v>
      </c>
      <c r="M214">
        <f t="shared" si="9"/>
        <v>607.70000000000005</v>
      </c>
      <c r="N214">
        <f t="shared" si="10"/>
        <v>60.4</v>
      </c>
      <c r="O214" t="str">
        <f t="shared" si="11"/>
        <v>607.7 A</v>
      </c>
      <c r="P214" t="s">
        <v>18</v>
      </c>
      <c r="Q214" t="s">
        <v>26</v>
      </c>
      <c r="R214" t="s">
        <v>11</v>
      </c>
      <c r="S214" t="s">
        <v>43</v>
      </c>
      <c r="AE214" t="s">
        <v>26</v>
      </c>
      <c r="AF214" t="s">
        <v>42</v>
      </c>
    </row>
    <row r="215" spans="1:32" x14ac:dyDescent="0.3">
      <c r="A215">
        <v>194</v>
      </c>
      <c r="B215" t="s">
        <v>11</v>
      </c>
      <c r="C215" t="s">
        <v>20</v>
      </c>
      <c r="D215">
        <v>581.73376176249997</v>
      </c>
      <c r="E215">
        <v>60.391181254345902</v>
      </c>
      <c r="F215">
        <v>3</v>
      </c>
      <c r="G215">
        <v>389.54207010788798</v>
      </c>
      <c r="H215">
        <v>773.92545341711195</v>
      </c>
      <c r="I215" t="s">
        <v>25</v>
      </c>
      <c r="J215" t="s">
        <v>26</v>
      </c>
      <c r="K215">
        <v>521.34258050815401</v>
      </c>
      <c r="L215" t="s">
        <v>43</v>
      </c>
      <c r="M215">
        <f t="shared" si="9"/>
        <v>581.70000000000005</v>
      </c>
      <c r="N215">
        <f t="shared" si="10"/>
        <v>60.4</v>
      </c>
      <c r="O215" t="str">
        <f t="shared" si="11"/>
        <v>581.7 A</v>
      </c>
      <c r="P215" t="s">
        <v>20</v>
      </c>
      <c r="Q215" t="s">
        <v>26</v>
      </c>
      <c r="R215" t="s">
        <v>11</v>
      </c>
      <c r="S215" t="s">
        <v>43</v>
      </c>
      <c r="AE215" t="s">
        <v>26</v>
      </c>
      <c r="AF215" t="s">
        <v>43</v>
      </c>
    </row>
    <row r="216" spans="1:32" x14ac:dyDescent="0.3">
      <c r="A216">
        <v>195</v>
      </c>
      <c r="B216" t="s">
        <v>11</v>
      </c>
      <c r="C216" t="s">
        <v>21</v>
      </c>
      <c r="D216">
        <v>621.13272611249999</v>
      </c>
      <c r="E216">
        <v>60.391181254345902</v>
      </c>
      <c r="F216">
        <v>3</v>
      </c>
      <c r="G216">
        <v>428.94103445788801</v>
      </c>
      <c r="H216">
        <v>813.32441776711198</v>
      </c>
      <c r="I216" t="s">
        <v>25</v>
      </c>
      <c r="J216" t="s">
        <v>26</v>
      </c>
      <c r="K216">
        <v>560.74154485815404</v>
      </c>
      <c r="L216" t="s">
        <v>43</v>
      </c>
      <c r="M216">
        <f t="shared" si="9"/>
        <v>621.1</v>
      </c>
      <c r="N216">
        <f t="shared" si="10"/>
        <v>60.4</v>
      </c>
      <c r="O216" t="str">
        <f t="shared" si="11"/>
        <v>621.1 A</v>
      </c>
      <c r="P216" t="s">
        <v>21</v>
      </c>
      <c r="Q216" t="s">
        <v>26</v>
      </c>
      <c r="R216" t="s">
        <v>11</v>
      </c>
      <c r="S216" t="s">
        <v>43</v>
      </c>
      <c r="AE216" t="s">
        <v>26</v>
      </c>
      <c r="AF216" t="s">
        <v>43</v>
      </c>
    </row>
    <row r="217" spans="1:32" x14ac:dyDescent="0.3">
      <c r="A217">
        <v>196</v>
      </c>
      <c r="B217" t="s">
        <v>23</v>
      </c>
      <c r="C217" t="s">
        <v>12</v>
      </c>
      <c r="D217">
        <v>515.1455538125</v>
      </c>
      <c r="E217">
        <v>60.391181254345902</v>
      </c>
      <c r="F217">
        <v>3</v>
      </c>
      <c r="G217">
        <v>322.95386215788801</v>
      </c>
      <c r="H217">
        <v>707.33724546711198</v>
      </c>
      <c r="I217" t="s">
        <v>25</v>
      </c>
      <c r="J217" t="s">
        <v>26</v>
      </c>
      <c r="K217">
        <v>454.75437255815399</v>
      </c>
      <c r="L217" t="s">
        <v>43</v>
      </c>
      <c r="M217">
        <f t="shared" si="9"/>
        <v>515.1</v>
      </c>
      <c r="N217">
        <f t="shared" si="10"/>
        <v>60.4</v>
      </c>
      <c r="O217" t="str">
        <f t="shared" si="11"/>
        <v>515.1 A</v>
      </c>
      <c r="P217" t="s">
        <v>12</v>
      </c>
      <c r="Q217" t="s">
        <v>26</v>
      </c>
      <c r="R217" t="s">
        <v>23</v>
      </c>
      <c r="S217" t="s">
        <v>43</v>
      </c>
      <c r="AE217" t="s">
        <v>26</v>
      </c>
      <c r="AF217" t="s">
        <v>43</v>
      </c>
    </row>
    <row r="218" spans="1:32" x14ac:dyDescent="0.3">
      <c r="A218">
        <v>197</v>
      </c>
      <c r="B218" t="s">
        <v>23</v>
      </c>
      <c r="C218" t="s">
        <v>16</v>
      </c>
      <c r="D218">
        <v>679.86314404999996</v>
      </c>
      <c r="E218">
        <v>60.391181254345902</v>
      </c>
      <c r="F218">
        <v>3</v>
      </c>
      <c r="G218">
        <v>487.67145239538797</v>
      </c>
      <c r="H218">
        <v>872.05483570461195</v>
      </c>
      <c r="I218" t="s">
        <v>25</v>
      </c>
      <c r="J218" t="s">
        <v>26</v>
      </c>
      <c r="K218">
        <v>619.47196279565401</v>
      </c>
      <c r="L218" t="s">
        <v>43</v>
      </c>
      <c r="M218">
        <f t="shared" si="9"/>
        <v>679.9</v>
      </c>
      <c r="N218">
        <f t="shared" si="10"/>
        <v>60.4</v>
      </c>
      <c r="O218" t="str">
        <f t="shared" si="11"/>
        <v>679.9 A</v>
      </c>
      <c r="P218" t="s">
        <v>16</v>
      </c>
      <c r="Q218" t="s">
        <v>26</v>
      </c>
      <c r="R218" t="s">
        <v>23</v>
      </c>
      <c r="S218" t="s">
        <v>43</v>
      </c>
      <c r="AE218" t="s">
        <v>26</v>
      </c>
      <c r="AF218" t="s">
        <v>43</v>
      </c>
    </row>
    <row r="219" spans="1:32" x14ac:dyDescent="0.3">
      <c r="A219">
        <v>198</v>
      </c>
      <c r="B219" t="s">
        <v>23</v>
      </c>
      <c r="C219" t="s">
        <v>18</v>
      </c>
      <c r="D219">
        <v>607.02584168750002</v>
      </c>
      <c r="E219">
        <v>60.391181254345902</v>
      </c>
      <c r="F219">
        <v>3</v>
      </c>
      <c r="G219">
        <v>414.83415003288798</v>
      </c>
      <c r="H219">
        <v>799.21753334211201</v>
      </c>
      <c r="I219" t="s">
        <v>25</v>
      </c>
      <c r="J219" t="s">
        <v>26</v>
      </c>
      <c r="K219">
        <v>546.63466043315395</v>
      </c>
      <c r="L219" t="s">
        <v>43</v>
      </c>
      <c r="M219">
        <f t="shared" si="9"/>
        <v>607</v>
      </c>
      <c r="N219">
        <f t="shared" si="10"/>
        <v>60.4</v>
      </c>
      <c r="O219" t="str">
        <f t="shared" si="11"/>
        <v>607 A</v>
      </c>
      <c r="P219" t="s">
        <v>18</v>
      </c>
      <c r="Q219" t="s">
        <v>26</v>
      </c>
      <c r="R219" t="s">
        <v>23</v>
      </c>
      <c r="S219" t="s">
        <v>43</v>
      </c>
      <c r="AE219" t="s">
        <v>26</v>
      </c>
      <c r="AF219" t="s">
        <v>43</v>
      </c>
    </row>
    <row r="220" spans="1:32" x14ac:dyDescent="0.3">
      <c r="A220">
        <v>199</v>
      </c>
      <c r="B220" t="s">
        <v>23</v>
      </c>
      <c r="C220" t="s">
        <v>20</v>
      </c>
      <c r="D220">
        <v>589.04876060000004</v>
      </c>
      <c r="E220">
        <v>60.391181254345902</v>
      </c>
      <c r="F220">
        <v>3</v>
      </c>
      <c r="G220">
        <v>396.85706894538799</v>
      </c>
      <c r="H220">
        <v>781.24045225461202</v>
      </c>
      <c r="I220" t="s">
        <v>25</v>
      </c>
      <c r="J220" t="s">
        <v>26</v>
      </c>
      <c r="K220">
        <v>528.65757934565397</v>
      </c>
      <c r="L220" t="s">
        <v>43</v>
      </c>
      <c r="M220">
        <f t="shared" si="9"/>
        <v>589</v>
      </c>
      <c r="N220">
        <f t="shared" si="10"/>
        <v>60.4</v>
      </c>
      <c r="O220" t="str">
        <f t="shared" si="11"/>
        <v>589 A</v>
      </c>
      <c r="P220" t="s">
        <v>20</v>
      </c>
      <c r="Q220" t="s">
        <v>26</v>
      </c>
      <c r="R220" t="s">
        <v>23</v>
      </c>
      <c r="S220" t="s">
        <v>43</v>
      </c>
      <c r="AE220" t="s">
        <v>26</v>
      </c>
      <c r="AF220" t="s">
        <v>43</v>
      </c>
    </row>
    <row r="221" spans="1:32" x14ac:dyDescent="0.3">
      <c r="A221">
        <v>200</v>
      </c>
      <c r="B221" t="s">
        <v>23</v>
      </c>
      <c r="C221" t="s">
        <v>21</v>
      </c>
      <c r="D221">
        <v>641.146509025</v>
      </c>
      <c r="E221">
        <v>60.391181254345902</v>
      </c>
      <c r="F221">
        <v>3</v>
      </c>
      <c r="G221">
        <v>448.95481737038801</v>
      </c>
      <c r="H221">
        <v>833.33820067961199</v>
      </c>
      <c r="I221" t="s">
        <v>25</v>
      </c>
      <c r="J221" t="s">
        <v>26</v>
      </c>
      <c r="K221">
        <v>580.75532777065405</v>
      </c>
      <c r="L221" t="s">
        <v>43</v>
      </c>
      <c r="M221">
        <f t="shared" si="9"/>
        <v>641.1</v>
      </c>
      <c r="N221">
        <f t="shared" si="10"/>
        <v>60.4</v>
      </c>
      <c r="O221" t="str">
        <f t="shared" si="11"/>
        <v>641.1 A</v>
      </c>
      <c r="P221" t="s">
        <v>21</v>
      </c>
      <c r="Q221" t="s">
        <v>26</v>
      </c>
      <c r="R221" t="s">
        <v>23</v>
      </c>
      <c r="S221" t="s">
        <v>43</v>
      </c>
      <c r="AE221" t="s">
        <v>26</v>
      </c>
      <c r="AF221" t="s">
        <v>43</v>
      </c>
    </row>
    <row r="222" spans="1:32" x14ac:dyDescent="0.3">
      <c r="A222">
        <v>211</v>
      </c>
      <c r="B222" t="s">
        <v>11</v>
      </c>
      <c r="C222" t="s">
        <v>12</v>
      </c>
      <c r="D222">
        <v>22.137978071712102</v>
      </c>
      <c r="E222">
        <v>3.4321699237416898</v>
      </c>
      <c r="F222">
        <v>3</v>
      </c>
      <c r="G222">
        <v>13.516387180500599</v>
      </c>
      <c r="H222">
        <v>36.258954893703702</v>
      </c>
      <c r="I222" t="s">
        <v>17</v>
      </c>
      <c r="J222" t="s">
        <v>26</v>
      </c>
      <c r="K222">
        <v>18.705808147970501</v>
      </c>
      <c r="L222" t="s">
        <v>44</v>
      </c>
      <c r="M222">
        <f t="shared" si="9"/>
        <v>22.1</v>
      </c>
      <c r="N222">
        <f t="shared" si="10"/>
        <v>3.4</v>
      </c>
      <c r="O222" t="str">
        <f t="shared" si="11"/>
        <v>22.1 C</v>
      </c>
      <c r="P222" t="s">
        <v>12</v>
      </c>
      <c r="Q222" t="s">
        <v>26</v>
      </c>
      <c r="R222" t="s">
        <v>11</v>
      </c>
      <c r="S222" t="s">
        <v>44</v>
      </c>
      <c r="T222" t="str">
        <f>O222</f>
        <v>22.1 C</v>
      </c>
      <c r="U222" t="str">
        <f>O223</f>
        <v>45.3 AB</v>
      </c>
      <c r="V222" t="str">
        <f>O224</f>
        <v>43.4 AB</v>
      </c>
      <c r="W222" t="str">
        <f>O225</f>
        <v>51.8 A</v>
      </c>
      <c r="X222" t="str">
        <f>O226</f>
        <v>49.6 A</v>
      </c>
      <c r="Y222" t="str">
        <f>O227</f>
        <v>32.5 BC</v>
      </c>
      <c r="Z222" t="str">
        <f>O228</f>
        <v>45.4 AB</v>
      </c>
      <c r="AA222" t="str">
        <f>O229</f>
        <v>48.4 AB</v>
      </c>
      <c r="AB222" t="str">
        <f>O230</f>
        <v>53.9 A</v>
      </c>
      <c r="AC222" t="str">
        <f>O231</f>
        <v>46.7 AB</v>
      </c>
      <c r="AD222">
        <v>1</v>
      </c>
      <c r="AE222" t="s">
        <v>26</v>
      </c>
      <c r="AF222" t="s">
        <v>43</v>
      </c>
    </row>
    <row r="223" spans="1:32" x14ac:dyDescent="0.3">
      <c r="A223">
        <v>212</v>
      </c>
      <c r="B223" t="s">
        <v>11</v>
      </c>
      <c r="C223" t="s">
        <v>16</v>
      </c>
      <c r="D223">
        <v>45.325739531560501</v>
      </c>
      <c r="E223">
        <v>7.02709341781999</v>
      </c>
      <c r="F223">
        <v>3</v>
      </c>
      <c r="G223">
        <v>27.673721726824098</v>
      </c>
      <c r="H223">
        <v>74.237310194946403</v>
      </c>
      <c r="I223" t="s">
        <v>24</v>
      </c>
      <c r="J223" t="s">
        <v>26</v>
      </c>
      <c r="K223">
        <v>38.298646113740602</v>
      </c>
      <c r="L223" t="s">
        <v>44</v>
      </c>
      <c r="M223">
        <f t="shared" si="9"/>
        <v>45.3</v>
      </c>
      <c r="N223">
        <f t="shared" si="10"/>
        <v>7</v>
      </c>
      <c r="O223" t="str">
        <f t="shared" si="11"/>
        <v>45.3 AB</v>
      </c>
      <c r="P223" t="s">
        <v>16</v>
      </c>
      <c r="Q223" t="s">
        <v>26</v>
      </c>
      <c r="R223" t="s">
        <v>11</v>
      </c>
      <c r="S223" t="s">
        <v>44</v>
      </c>
      <c r="AE223" t="s">
        <v>26</v>
      </c>
      <c r="AF223" t="s">
        <v>43</v>
      </c>
    </row>
    <row r="224" spans="1:32" x14ac:dyDescent="0.3">
      <c r="A224">
        <v>213</v>
      </c>
      <c r="B224" t="s">
        <v>11</v>
      </c>
      <c r="C224" t="s">
        <v>18</v>
      </c>
      <c r="D224">
        <v>43.356990939704197</v>
      </c>
      <c r="E224">
        <v>6.7218677245570504</v>
      </c>
      <c r="F224">
        <v>3</v>
      </c>
      <c r="G224">
        <v>26.471698301631701</v>
      </c>
      <c r="H224">
        <v>71.012771523983702</v>
      </c>
      <c r="I224" t="s">
        <v>24</v>
      </c>
      <c r="J224" t="s">
        <v>26</v>
      </c>
      <c r="K224">
        <v>36.635123215147203</v>
      </c>
      <c r="L224" t="s">
        <v>44</v>
      </c>
      <c r="M224">
        <f t="shared" si="9"/>
        <v>43.4</v>
      </c>
      <c r="N224">
        <f t="shared" si="10"/>
        <v>6.7</v>
      </c>
      <c r="O224" t="str">
        <f t="shared" si="11"/>
        <v>43.4 AB</v>
      </c>
      <c r="P224" t="s">
        <v>18</v>
      </c>
      <c r="Q224" t="s">
        <v>26</v>
      </c>
      <c r="R224" t="s">
        <v>11</v>
      </c>
      <c r="S224" t="s">
        <v>44</v>
      </c>
      <c r="AE224" t="s">
        <v>26</v>
      </c>
      <c r="AF224" t="s">
        <v>44</v>
      </c>
    </row>
    <row r="225" spans="1:32" x14ac:dyDescent="0.3">
      <c r="A225">
        <v>214</v>
      </c>
      <c r="B225" t="s">
        <v>11</v>
      </c>
      <c r="C225" t="s">
        <v>20</v>
      </c>
      <c r="D225">
        <v>51.814764568222202</v>
      </c>
      <c r="E225">
        <v>8.0331219039397403</v>
      </c>
      <c r="F225">
        <v>3</v>
      </c>
      <c r="G225">
        <v>31.635609056162199</v>
      </c>
      <c r="H225">
        <v>84.865438262752093</v>
      </c>
      <c r="I225" t="s">
        <v>25</v>
      </c>
      <c r="J225" t="s">
        <v>26</v>
      </c>
      <c r="K225">
        <v>43.781642664282501</v>
      </c>
      <c r="L225" t="s">
        <v>44</v>
      </c>
      <c r="M225">
        <f t="shared" si="9"/>
        <v>51.8</v>
      </c>
      <c r="N225">
        <f t="shared" si="10"/>
        <v>8</v>
      </c>
      <c r="O225" t="str">
        <f t="shared" si="11"/>
        <v>51.8 A</v>
      </c>
      <c r="P225" t="s">
        <v>20</v>
      </c>
      <c r="Q225" t="s">
        <v>26</v>
      </c>
      <c r="R225" t="s">
        <v>11</v>
      </c>
      <c r="S225" t="s">
        <v>44</v>
      </c>
      <c r="AE225" t="s">
        <v>26</v>
      </c>
      <c r="AF225" t="s">
        <v>44</v>
      </c>
    </row>
    <row r="226" spans="1:32" x14ac:dyDescent="0.3">
      <c r="A226">
        <v>215</v>
      </c>
      <c r="B226" t="s">
        <v>11</v>
      </c>
      <c r="C226" t="s">
        <v>21</v>
      </c>
      <c r="D226">
        <v>49.582976178712102</v>
      </c>
      <c r="E226">
        <v>7.6871157347304502</v>
      </c>
      <c r="F226">
        <v>3</v>
      </c>
      <c r="G226">
        <v>30.272986151764801</v>
      </c>
      <c r="H226">
        <v>81.210076680705001</v>
      </c>
      <c r="I226" t="s">
        <v>25</v>
      </c>
      <c r="J226" t="s">
        <v>26</v>
      </c>
      <c r="K226">
        <v>41.895860443981697</v>
      </c>
      <c r="L226" t="s">
        <v>44</v>
      </c>
      <c r="M226">
        <f t="shared" si="9"/>
        <v>49.6</v>
      </c>
      <c r="N226">
        <f t="shared" si="10"/>
        <v>7.7</v>
      </c>
      <c r="O226" t="str">
        <f t="shared" si="11"/>
        <v>49.6 A</v>
      </c>
      <c r="P226" t="s">
        <v>21</v>
      </c>
      <c r="Q226" t="s">
        <v>26</v>
      </c>
      <c r="R226" t="s">
        <v>11</v>
      </c>
      <c r="S226" t="s">
        <v>44</v>
      </c>
      <c r="AE226" t="s">
        <v>26</v>
      </c>
      <c r="AF226" t="s">
        <v>44</v>
      </c>
    </row>
    <row r="227" spans="1:32" x14ac:dyDescent="0.3">
      <c r="A227">
        <v>216</v>
      </c>
      <c r="B227" t="s">
        <v>23</v>
      </c>
      <c r="C227" t="s">
        <v>12</v>
      </c>
      <c r="D227">
        <v>32.470190744276003</v>
      </c>
      <c r="E227">
        <v>5.0340284794599901</v>
      </c>
      <c r="F227">
        <v>3</v>
      </c>
      <c r="G227">
        <v>19.824740475515298</v>
      </c>
      <c r="H227">
        <v>53.181694270944</v>
      </c>
      <c r="I227" t="s">
        <v>19</v>
      </c>
      <c r="J227" t="s">
        <v>26</v>
      </c>
      <c r="K227">
        <v>27.436162264816002</v>
      </c>
      <c r="L227" t="s">
        <v>44</v>
      </c>
      <c r="M227">
        <f t="shared" si="9"/>
        <v>32.5</v>
      </c>
      <c r="N227">
        <f t="shared" si="10"/>
        <v>5</v>
      </c>
      <c r="O227" t="str">
        <f t="shared" si="11"/>
        <v>32.5 BC</v>
      </c>
      <c r="P227" t="s">
        <v>12</v>
      </c>
      <c r="Q227" t="s">
        <v>26</v>
      </c>
      <c r="R227" t="s">
        <v>23</v>
      </c>
      <c r="S227" t="s">
        <v>44</v>
      </c>
      <c r="AE227" t="s">
        <v>26</v>
      </c>
      <c r="AF227" t="s">
        <v>44</v>
      </c>
    </row>
    <row r="228" spans="1:32" x14ac:dyDescent="0.3">
      <c r="A228">
        <v>217</v>
      </c>
      <c r="B228" t="s">
        <v>23</v>
      </c>
      <c r="C228" t="s">
        <v>16</v>
      </c>
      <c r="D228">
        <v>45.417670069647599</v>
      </c>
      <c r="E228">
        <v>7.04134590406212</v>
      </c>
      <c r="F228">
        <v>3</v>
      </c>
      <c r="G228">
        <v>27.729850102345601</v>
      </c>
      <c r="H228">
        <v>74.387879737614398</v>
      </c>
      <c r="I228" t="s">
        <v>24</v>
      </c>
      <c r="J228" t="s">
        <v>26</v>
      </c>
      <c r="K228">
        <v>38.376324165585501</v>
      </c>
      <c r="L228" t="s">
        <v>44</v>
      </c>
      <c r="M228">
        <f t="shared" si="9"/>
        <v>45.4</v>
      </c>
      <c r="N228">
        <f t="shared" si="10"/>
        <v>7</v>
      </c>
      <c r="O228" t="str">
        <f t="shared" si="11"/>
        <v>45.4 AB</v>
      </c>
      <c r="P228" t="s">
        <v>16</v>
      </c>
      <c r="Q228" t="s">
        <v>26</v>
      </c>
      <c r="R228" t="s">
        <v>23</v>
      </c>
      <c r="S228" t="s">
        <v>44</v>
      </c>
      <c r="AE228" t="s">
        <v>26</v>
      </c>
      <c r="AF228" t="s">
        <v>44</v>
      </c>
    </row>
    <row r="229" spans="1:32" x14ac:dyDescent="0.3">
      <c r="A229">
        <v>218</v>
      </c>
      <c r="B229" t="s">
        <v>23</v>
      </c>
      <c r="C229" t="s">
        <v>18</v>
      </c>
      <c r="D229">
        <v>48.425251029096998</v>
      </c>
      <c r="E229">
        <v>7.5076273719903304</v>
      </c>
      <c r="F229">
        <v>3</v>
      </c>
      <c r="G229">
        <v>29.566134725671901</v>
      </c>
      <c r="H229">
        <v>79.313882554790595</v>
      </c>
      <c r="I229" t="s">
        <v>24</v>
      </c>
      <c r="J229" t="s">
        <v>26</v>
      </c>
      <c r="K229">
        <v>40.917623657106702</v>
      </c>
      <c r="L229" t="s">
        <v>44</v>
      </c>
      <c r="M229">
        <f t="shared" si="9"/>
        <v>48.4</v>
      </c>
      <c r="N229">
        <f t="shared" si="10"/>
        <v>7.5</v>
      </c>
      <c r="O229" t="str">
        <f t="shared" si="11"/>
        <v>48.4 AB</v>
      </c>
      <c r="P229" t="s">
        <v>18</v>
      </c>
      <c r="Q229" t="s">
        <v>26</v>
      </c>
      <c r="R229" t="s">
        <v>23</v>
      </c>
      <c r="S229" t="s">
        <v>44</v>
      </c>
      <c r="AE229" t="s">
        <v>26</v>
      </c>
      <c r="AF229" t="s">
        <v>44</v>
      </c>
    </row>
    <row r="230" spans="1:32" x14ac:dyDescent="0.3">
      <c r="A230">
        <v>219</v>
      </c>
      <c r="B230" t="s">
        <v>23</v>
      </c>
      <c r="C230" t="s">
        <v>20</v>
      </c>
      <c r="D230">
        <v>53.913305202536101</v>
      </c>
      <c r="E230">
        <v>8.3584699563007305</v>
      </c>
      <c r="F230">
        <v>3</v>
      </c>
      <c r="G230">
        <v>32.916877274764502</v>
      </c>
      <c r="H230">
        <v>88.302558398823507</v>
      </c>
      <c r="I230" t="s">
        <v>25</v>
      </c>
      <c r="J230" t="s">
        <v>26</v>
      </c>
      <c r="K230">
        <v>45.554835246235299</v>
      </c>
      <c r="L230" t="s">
        <v>44</v>
      </c>
      <c r="M230">
        <f t="shared" si="9"/>
        <v>53.9</v>
      </c>
      <c r="N230">
        <f t="shared" si="10"/>
        <v>8.4</v>
      </c>
      <c r="O230" t="str">
        <f t="shared" si="11"/>
        <v>53.9 A</v>
      </c>
      <c r="P230" t="s">
        <v>20</v>
      </c>
      <c r="Q230" t="s">
        <v>26</v>
      </c>
      <c r="R230" t="s">
        <v>23</v>
      </c>
      <c r="S230" t="s">
        <v>44</v>
      </c>
      <c r="AE230" t="s">
        <v>26</v>
      </c>
      <c r="AF230" t="s">
        <v>44</v>
      </c>
    </row>
    <row r="231" spans="1:32" x14ac:dyDescent="0.3">
      <c r="A231">
        <v>220</v>
      </c>
      <c r="B231" t="s">
        <v>23</v>
      </c>
      <c r="C231" t="s">
        <v>21</v>
      </c>
      <c r="D231">
        <v>46.686799275323999</v>
      </c>
      <c r="E231">
        <v>7.2381058373746603</v>
      </c>
      <c r="F231">
        <v>3</v>
      </c>
      <c r="G231">
        <v>28.504719499651699</v>
      </c>
      <c r="H231">
        <v>76.466538342923201</v>
      </c>
      <c r="I231" t="s">
        <v>24</v>
      </c>
      <c r="J231" t="s">
        <v>26</v>
      </c>
      <c r="K231">
        <v>39.448693437949302</v>
      </c>
      <c r="L231" t="s">
        <v>44</v>
      </c>
      <c r="M231">
        <f t="shared" si="9"/>
        <v>46.7</v>
      </c>
      <c r="N231">
        <f t="shared" si="10"/>
        <v>7.2</v>
      </c>
      <c r="O231" t="str">
        <f t="shared" si="11"/>
        <v>46.7 AB</v>
      </c>
      <c r="P231" t="s">
        <v>21</v>
      </c>
      <c r="Q231" t="s">
        <v>26</v>
      </c>
      <c r="R231" t="s">
        <v>23</v>
      </c>
      <c r="S231" t="s">
        <v>44</v>
      </c>
      <c r="AE231" t="s">
        <v>26</v>
      </c>
      <c r="AF231" t="s">
        <v>44</v>
      </c>
    </row>
    <row r="232" spans="1:32" x14ac:dyDescent="0.3">
      <c r="A232">
        <v>231</v>
      </c>
      <c r="B232" t="s">
        <v>11</v>
      </c>
      <c r="C232" t="s">
        <v>12</v>
      </c>
      <c r="D232">
        <v>874.33960455007104</v>
      </c>
      <c r="E232">
        <v>17.3114493592767</v>
      </c>
      <c r="F232">
        <v>3</v>
      </c>
      <c r="G232">
        <v>820.94667423158899</v>
      </c>
      <c r="H232">
        <v>931.20511731206398</v>
      </c>
      <c r="I232" t="s">
        <v>13</v>
      </c>
      <c r="J232" t="s">
        <v>26</v>
      </c>
      <c r="K232">
        <v>857.02815519079502</v>
      </c>
      <c r="L232" t="s">
        <v>45</v>
      </c>
      <c r="M232">
        <f t="shared" si="9"/>
        <v>874.3</v>
      </c>
      <c r="N232">
        <f t="shared" si="10"/>
        <v>17.3</v>
      </c>
      <c r="O232" t="str">
        <f t="shared" si="11"/>
        <v>874.3 D</v>
      </c>
      <c r="P232" t="s">
        <v>12</v>
      </c>
      <c r="Q232" t="s">
        <v>26</v>
      </c>
      <c r="R232" t="s">
        <v>11</v>
      </c>
      <c r="S232" t="s">
        <v>45</v>
      </c>
      <c r="T232" t="str">
        <f>O232</f>
        <v>874.3 D</v>
      </c>
      <c r="U232" t="str">
        <f>O233</f>
        <v>1489.9 B</v>
      </c>
      <c r="V232" t="str">
        <f>O234</f>
        <v>1302.2 C</v>
      </c>
      <c r="W232" t="str">
        <f>O235</f>
        <v>1356.9 C</v>
      </c>
      <c r="X232" t="str">
        <f>O236</f>
        <v>1298.2 C</v>
      </c>
      <c r="Y232" t="str">
        <f>O237</f>
        <v>895.7 D</v>
      </c>
      <c r="Z232" t="str">
        <f>O238</f>
        <v>1803 A</v>
      </c>
      <c r="AA232" t="str">
        <f>O239</f>
        <v>1496.1 B</v>
      </c>
      <c r="AB232" t="str">
        <f>O240</f>
        <v>1586 B</v>
      </c>
      <c r="AC232" t="str">
        <f>O241</f>
        <v>1505.8 B</v>
      </c>
      <c r="AD232">
        <v>1</v>
      </c>
      <c r="AE232" t="s">
        <v>26</v>
      </c>
      <c r="AF232" t="s">
        <v>44</v>
      </c>
    </row>
    <row r="233" spans="1:32" x14ac:dyDescent="0.3">
      <c r="A233">
        <v>232</v>
      </c>
      <c r="B233" t="s">
        <v>11</v>
      </c>
      <c r="C233" t="s">
        <v>16</v>
      </c>
      <c r="D233">
        <v>1489.8527812469899</v>
      </c>
      <c r="E233">
        <v>29.498276002957599</v>
      </c>
      <c r="F233">
        <v>3</v>
      </c>
      <c r="G233">
        <v>1398.8725656420299</v>
      </c>
      <c r="H233">
        <v>1586.7501903367699</v>
      </c>
      <c r="I233" t="s">
        <v>28</v>
      </c>
      <c r="J233" t="s">
        <v>26</v>
      </c>
      <c r="K233">
        <v>1460.35450524403</v>
      </c>
      <c r="L233" t="s">
        <v>45</v>
      </c>
      <c r="M233">
        <f t="shared" si="9"/>
        <v>1489.9</v>
      </c>
      <c r="N233">
        <f t="shared" si="10"/>
        <v>29.5</v>
      </c>
      <c r="O233" t="str">
        <f t="shared" si="11"/>
        <v>1489.9 B</v>
      </c>
      <c r="P233" t="s">
        <v>16</v>
      </c>
      <c r="Q233" t="s">
        <v>26</v>
      </c>
      <c r="R233" t="s">
        <v>11</v>
      </c>
      <c r="S233" t="s">
        <v>45</v>
      </c>
      <c r="AE233" t="s">
        <v>26</v>
      </c>
      <c r="AF233" t="s">
        <v>45</v>
      </c>
    </row>
    <row r="234" spans="1:32" x14ac:dyDescent="0.3">
      <c r="A234">
        <v>233</v>
      </c>
      <c r="B234" t="s">
        <v>11</v>
      </c>
      <c r="C234" t="s">
        <v>18</v>
      </c>
      <c r="D234">
        <v>1302.1629106344101</v>
      </c>
      <c r="E234">
        <v>25.782118489961501</v>
      </c>
      <c r="F234">
        <v>3</v>
      </c>
      <c r="G234">
        <v>1222.6442737237701</v>
      </c>
      <c r="H234">
        <v>1386.85330007523</v>
      </c>
      <c r="I234" t="s">
        <v>17</v>
      </c>
      <c r="J234" t="s">
        <v>26</v>
      </c>
      <c r="K234">
        <v>1276.38079214445</v>
      </c>
      <c r="L234" t="s">
        <v>45</v>
      </c>
      <c r="M234">
        <f t="shared" si="9"/>
        <v>1302.2</v>
      </c>
      <c r="N234">
        <f t="shared" si="10"/>
        <v>25.8</v>
      </c>
      <c r="O234" t="str">
        <f t="shared" si="11"/>
        <v>1302.2 C</v>
      </c>
      <c r="P234" t="s">
        <v>18</v>
      </c>
      <c r="Q234" t="s">
        <v>26</v>
      </c>
      <c r="R234" t="s">
        <v>11</v>
      </c>
      <c r="S234" t="s">
        <v>45</v>
      </c>
      <c r="AE234" t="s">
        <v>26</v>
      </c>
      <c r="AF234" t="s">
        <v>45</v>
      </c>
    </row>
    <row r="235" spans="1:32" x14ac:dyDescent="0.3">
      <c r="A235">
        <v>234</v>
      </c>
      <c r="B235" t="s">
        <v>11</v>
      </c>
      <c r="C235" t="s">
        <v>20</v>
      </c>
      <c r="D235">
        <v>1356.9336165858899</v>
      </c>
      <c r="E235">
        <v>26.8665487245256</v>
      </c>
      <c r="F235">
        <v>3</v>
      </c>
      <c r="G235">
        <v>1274.0703199216</v>
      </c>
      <c r="H235">
        <v>1445.1861965783601</v>
      </c>
      <c r="I235" t="s">
        <v>17</v>
      </c>
      <c r="J235" t="s">
        <v>26</v>
      </c>
      <c r="K235">
        <v>1330.0670678613701</v>
      </c>
      <c r="L235" t="s">
        <v>45</v>
      </c>
      <c r="M235">
        <f t="shared" si="9"/>
        <v>1356.9</v>
      </c>
      <c r="N235">
        <f t="shared" si="10"/>
        <v>26.9</v>
      </c>
      <c r="O235" t="str">
        <f t="shared" si="11"/>
        <v>1356.9 C</v>
      </c>
      <c r="P235" t="s">
        <v>20</v>
      </c>
      <c r="Q235" t="s">
        <v>26</v>
      </c>
      <c r="R235" t="s">
        <v>11</v>
      </c>
      <c r="S235" t="s">
        <v>45</v>
      </c>
      <c r="AE235" t="s">
        <v>26</v>
      </c>
      <c r="AF235" t="s">
        <v>45</v>
      </c>
    </row>
    <row r="236" spans="1:32" x14ac:dyDescent="0.3">
      <c r="A236">
        <v>235</v>
      </c>
      <c r="B236" t="s">
        <v>11</v>
      </c>
      <c r="C236" t="s">
        <v>21</v>
      </c>
      <c r="D236">
        <v>1298.18463568382</v>
      </c>
      <c r="E236">
        <v>25.703350806345099</v>
      </c>
      <c r="F236">
        <v>3</v>
      </c>
      <c r="G236">
        <v>1218.90893842285</v>
      </c>
      <c r="H236">
        <v>1382.6162851066899</v>
      </c>
      <c r="I236" t="s">
        <v>17</v>
      </c>
      <c r="J236" t="s">
        <v>26</v>
      </c>
      <c r="K236">
        <v>1272.48128487747</v>
      </c>
      <c r="L236" t="s">
        <v>45</v>
      </c>
      <c r="M236">
        <f t="shared" si="9"/>
        <v>1298.2</v>
      </c>
      <c r="N236">
        <f t="shared" si="10"/>
        <v>25.7</v>
      </c>
      <c r="O236" t="str">
        <f t="shared" si="11"/>
        <v>1298.2 C</v>
      </c>
      <c r="P236" t="s">
        <v>21</v>
      </c>
      <c r="Q236" t="s">
        <v>26</v>
      </c>
      <c r="R236" t="s">
        <v>11</v>
      </c>
      <c r="S236" t="s">
        <v>45</v>
      </c>
      <c r="AE236" t="s">
        <v>26</v>
      </c>
      <c r="AF236" t="s">
        <v>45</v>
      </c>
    </row>
    <row r="237" spans="1:32" x14ac:dyDescent="0.3">
      <c r="A237">
        <v>236</v>
      </c>
      <c r="B237" t="s">
        <v>23</v>
      </c>
      <c r="C237" t="s">
        <v>12</v>
      </c>
      <c r="D237">
        <v>895.731435012563</v>
      </c>
      <c r="E237">
        <v>17.734995985583598</v>
      </c>
      <c r="F237">
        <v>3</v>
      </c>
      <c r="G237">
        <v>841.03217874553104</v>
      </c>
      <c r="H237">
        <v>953.98823486922299</v>
      </c>
      <c r="I237" t="s">
        <v>13</v>
      </c>
      <c r="J237" t="s">
        <v>26</v>
      </c>
      <c r="K237">
        <v>877.99643902697903</v>
      </c>
      <c r="L237" t="s">
        <v>45</v>
      </c>
      <c r="M237">
        <f t="shared" si="9"/>
        <v>895.7</v>
      </c>
      <c r="N237">
        <f t="shared" si="10"/>
        <v>17.7</v>
      </c>
      <c r="O237" t="str">
        <f t="shared" si="11"/>
        <v>895.7 D</v>
      </c>
      <c r="P237" t="s">
        <v>12</v>
      </c>
      <c r="Q237" t="s">
        <v>26</v>
      </c>
      <c r="R237" t="s">
        <v>23</v>
      </c>
      <c r="S237" t="s">
        <v>45</v>
      </c>
      <c r="AE237" t="s">
        <v>26</v>
      </c>
      <c r="AF237" t="s">
        <v>45</v>
      </c>
    </row>
    <row r="238" spans="1:32" x14ac:dyDescent="0.3">
      <c r="A238">
        <v>237</v>
      </c>
      <c r="B238" t="s">
        <v>23</v>
      </c>
      <c r="C238" t="s">
        <v>16</v>
      </c>
      <c r="D238">
        <v>1802.97096422402</v>
      </c>
      <c r="E238">
        <v>35.697845986825499</v>
      </c>
      <c r="F238">
        <v>3</v>
      </c>
      <c r="G238">
        <v>1692.8696917229299</v>
      </c>
      <c r="H238">
        <v>1920.2330301787399</v>
      </c>
      <c r="I238" t="s">
        <v>25</v>
      </c>
      <c r="J238" t="s">
        <v>26</v>
      </c>
      <c r="K238">
        <v>1767.2731182371899</v>
      </c>
      <c r="L238" t="s">
        <v>45</v>
      </c>
      <c r="M238">
        <f t="shared" si="9"/>
        <v>1803</v>
      </c>
      <c r="N238">
        <f t="shared" si="10"/>
        <v>35.700000000000003</v>
      </c>
      <c r="O238" t="str">
        <f t="shared" si="11"/>
        <v>1803 A</v>
      </c>
      <c r="P238" t="s">
        <v>16</v>
      </c>
      <c r="Q238" t="s">
        <v>26</v>
      </c>
      <c r="R238" t="s">
        <v>23</v>
      </c>
      <c r="S238" t="s">
        <v>45</v>
      </c>
      <c r="AE238" t="s">
        <v>26</v>
      </c>
      <c r="AF238" t="s">
        <v>45</v>
      </c>
    </row>
    <row r="239" spans="1:32" x14ac:dyDescent="0.3">
      <c r="A239">
        <v>238</v>
      </c>
      <c r="B239" t="s">
        <v>23</v>
      </c>
      <c r="C239" t="s">
        <v>18</v>
      </c>
      <c r="D239">
        <v>1496.1405672308299</v>
      </c>
      <c r="E239">
        <v>29.622770750850499</v>
      </c>
      <c r="F239">
        <v>3</v>
      </c>
      <c r="G239">
        <v>1404.7763780335299</v>
      </c>
      <c r="H239">
        <v>1593.44692288125</v>
      </c>
      <c r="I239" t="s">
        <v>28</v>
      </c>
      <c r="J239" t="s">
        <v>26</v>
      </c>
      <c r="K239">
        <v>1466.51779647998</v>
      </c>
      <c r="L239" t="s">
        <v>45</v>
      </c>
      <c r="M239">
        <f t="shared" si="9"/>
        <v>1496.1</v>
      </c>
      <c r="N239">
        <f t="shared" si="10"/>
        <v>29.6</v>
      </c>
      <c r="O239" t="str">
        <f t="shared" si="11"/>
        <v>1496.1 B</v>
      </c>
      <c r="P239" t="s">
        <v>18</v>
      </c>
      <c r="Q239" t="s">
        <v>26</v>
      </c>
      <c r="R239" t="s">
        <v>23</v>
      </c>
      <c r="S239" t="s">
        <v>45</v>
      </c>
      <c r="AE239" t="s">
        <v>26</v>
      </c>
      <c r="AF239" t="s">
        <v>45</v>
      </c>
    </row>
    <row r="240" spans="1:32" x14ac:dyDescent="0.3">
      <c r="A240">
        <v>239</v>
      </c>
      <c r="B240" t="s">
        <v>23</v>
      </c>
      <c r="C240" t="s">
        <v>20</v>
      </c>
      <c r="D240">
        <v>1585.9789518959601</v>
      </c>
      <c r="E240">
        <v>31.401521980414099</v>
      </c>
      <c r="F240">
        <v>3</v>
      </c>
      <c r="G240">
        <v>1489.1286397009201</v>
      </c>
      <c r="H240">
        <v>1689.12823835165</v>
      </c>
      <c r="I240" t="s">
        <v>28</v>
      </c>
      <c r="J240" t="s">
        <v>26</v>
      </c>
      <c r="K240">
        <v>1554.5774299155401</v>
      </c>
      <c r="L240" t="s">
        <v>45</v>
      </c>
      <c r="M240">
        <f t="shared" si="9"/>
        <v>1586</v>
      </c>
      <c r="N240">
        <f t="shared" si="10"/>
        <v>31.4</v>
      </c>
      <c r="O240" t="str">
        <f t="shared" si="11"/>
        <v>1586 B</v>
      </c>
      <c r="P240" t="s">
        <v>20</v>
      </c>
      <c r="Q240" t="s">
        <v>26</v>
      </c>
      <c r="R240" t="s">
        <v>23</v>
      </c>
      <c r="S240" t="s">
        <v>45</v>
      </c>
      <c r="AE240" t="s">
        <v>26</v>
      </c>
      <c r="AF240" t="s">
        <v>45</v>
      </c>
    </row>
    <row r="241" spans="1:32" x14ac:dyDescent="0.3">
      <c r="A241">
        <v>240</v>
      </c>
      <c r="B241" t="s">
        <v>23</v>
      </c>
      <c r="C241" t="s">
        <v>21</v>
      </c>
      <c r="D241">
        <v>1505.7935868857901</v>
      </c>
      <c r="E241">
        <v>29.813895297938799</v>
      </c>
      <c r="F241">
        <v>3</v>
      </c>
      <c r="G241">
        <v>1413.83992078144</v>
      </c>
      <c r="H241">
        <v>1603.7277579863301</v>
      </c>
      <c r="I241" t="s">
        <v>28</v>
      </c>
      <c r="J241" t="s">
        <v>26</v>
      </c>
      <c r="K241">
        <v>1475.9796915878501</v>
      </c>
      <c r="L241" t="s">
        <v>45</v>
      </c>
      <c r="M241">
        <f t="shared" si="9"/>
        <v>1505.8</v>
      </c>
      <c r="N241">
        <f t="shared" si="10"/>
        <v>29.8</v>
      </c>
      <c r="O241" t="str">
        <f t="shared" si="11"/>
        <v>1505.8 B</v>
      </c>
      <c r="P241" t="s">
        <v>21</v>
      </c>
      <c r="Q241" t="s">
        <v>26</v>
      </c>
      <c r="R241" t="s">
        <v>23</v>
      </c>
      <c r="S241" t="s">
        <v>45</v>
      </c>
      <c r="AE241" t="s">
        <v>26</v>
      </c>
      <c r="AF241" t="s">
        <v>45</v>
      </c>
    </row>
  </sheetData>
  <sortState xmlns:xlrd2="http://schemas.microsoft.com/office/spreadsheetml/2017/richdata2" ref="AE2:AQ241">
    <sortCondition ref="AQ2:AQ2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*combined_2way_native reworked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Christine Wooliver</dc:creator>
  <cp:lastModifiedBy>Rachel Christine Wooliver</cp:lastModifiedBy>
  <dcterms:created xsi:type="dcterms:W3CDTF">2024-09-05T16:47:25Z</dcterms:created>
  <dcterms:modified xsi:type="dcterms:W3CDTF">2024-09-05T17:12:00Z</dcterms:modified>
</cp:coreProperties>
</file>